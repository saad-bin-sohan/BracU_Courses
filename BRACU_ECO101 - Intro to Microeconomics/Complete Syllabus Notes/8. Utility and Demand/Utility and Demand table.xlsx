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m Textbook" sheetId="1" r:id="rId4"/>
    <sheet state="visible" name="Sheet1" sheetId="2" r:id="rId5"/>
    <sheet state="visible" name="Quiz 3 of Fall 2021" sheetId="3" r:id="rId6"/>
    <sheet state="visible" name="Summer 21" sheetId="4" r:id="rId7"/>
    <sheet state="visible" name="Spring 21" sheetId="5" r:id="rId8"/>
    <sheet state="visible" name="Week 8 solve" sheetId="6" r:id="rId9"/>
  </sheets>
  <definedNames/>
  <calcPr/>
</workbook>
</file>

<file path=xl/sharedStrings.xml><?xml version="1.0" encoding="utf-8"?>
<sst xmlns="http://schemas.openxmlformats.org/spreadsheetml/2006/main" count="131" uniqueCount="72">
  <si>
    <t>Utility and Demand</t>
  </si>
  <si>
    <t>Table 8.1, 8.2</t>
  </si>
  <si>
    <t>Movies</t>
  </si>
  <si>
    <t>Soda</t>
  </si>
  <si>
    <t>Qty</t>
  </si>
  <si>
    <t>Total Utility</t>
  </si>
  <si>
    <t>Marginal Utility</t>
  </si>
  <si>
    <t>Price is 8$</t>
  </si>
  <si>
    <t>Marginal Utility per Price</t>
  </si>
  <si>
    <t>Price is 4$</t>
  </si>
  <si>
    <t>Budget Combination</t>
  </si>
  <si>
    <t>Q</t>
  </si>
  <si>
    <t>TU</t>
  </si>
  <si>
    <t>MU= dTU/dQ</t>
  </si>
  <si>
    <t>P</t>
  </si>
  <si>
    <t>MU/P</t>
  </si>
  <si>
    <t>TU movie +TU soda</t>
  </si>
  <si>
    <t>P1xQ1+P2xQ2 =&lt; budget amount</t>
  </si>
  <si>
    <t xml:space="preserve">A calculation of marginal utility ( MU ) helps us to understand that What will be my change in Output to one unit change in Input. </t>
  </si>
  <si>
    <t>Here the Output is satisfaction and input is the consumed products ( like Movies and Soda )</t>
  </si>
  <si>
    <t>MU/P or Marginal Utility per price refers, your satisfaction for each price you spent.</t>
  </si>
  <si>
    <t xml:space="preserve">Here, the MU/P for movie = MU/P for soda is the optimizaing point which is the best point for an individual, which is the equal satisfaction from both movie and soda. </t>
  </si>
  <si>
    <t>Afzal Budget</t>
  </si>
  <si>
    <t>Price of Carrot</t>
  </si>
  <si>
    <t>Price of Tomato</t>
  </si>
  <si>
    <t>Quantity of Carrot</t>
  </si>
  <si>
    <t>Quantity of Tomato</t>
  </si>
  <si>
    <t>Total Expenditure= P1xQ1+P2xQ2&lt;=budget</t>
  </si>
  <si>
    <t>If the combination is within budget limit or budget line, it shall be followed</t>
  </si>
  <si>
    <t>Shahid has a monthly income of 6295 Bangladeshi Taka (BDT). He can buy two goods, brownies and frozen yoghurts. The price of a brownie is BDT271 and the price of frozen yoghurt is BDT450.</t>
  </si>
  <si>
    <t>per kg. In the following table, 6 consumption bundles are presented. That table also shows the values of utility that Shahid derives from different quantities of brownies and frozen yoghurts.</t>
  </si>
  <si>
    <r>
      <rPr>
        <rFont val="Calibri"/>
        <b/>
        <color theme="1"/>
        <sz val="11.0"/>
      </rPr>
      <t>TU=(MU</t>
    </r>
    <r>
      <rPr>
        <rFont val="Calibri"/>
        <b/>
        <color theme="1"/>
        <sz val="8.0"/>
      </rPr>
      <t>f</t>
    </r>
    <r>
      <rPr>
        <rFont val="Calibri"/>
        <b/>
        <color theme="1"/>
        <sz val="11.0"/>
      </rPr>
      <t>*dQ)+TU</t>
    </r>
    <r>
      <rPr>
        <rFont val="Calibri"/>
        <b/>
        <color theme="1"/>
        <sz val="8.0"/>
      </rPr>
      <t>i</t>
    </r>
  </si>
  <si>
    <r>
      <rPr>
        <rFont val="Calibri"/>
        <b/>
        <color theme="1"/>
        <sz val="11.0"/>
      </rPr>
      <t>TU</t>
    </r>
    <r>
      <rPr>
        <rFont val="Calibri"/>
        <b/>
        <color theme="1"/>
        <sz val="8.0"/>
      </rPr>
      <t>B</t>
    </r>
    <r>
      <rPr>
        <rFont val="Calibri"/>
        <b/>
        <color theme="1"/>
        <sz val="11.0"/>
      </rPr>
      <t>+TU</t>
    </r>
    <r>
      <rPr>
        <rFont val="Calibri"/>
        <b/>
        <color theme="1"/>
        <sz val="8.0"/>
      </rPr>
      <t>f</t>
    </r>
  </si>
  <si>
    <t>TU=(MUf*dQ)+TUi</t>
  </si>
  <si>
    <t>MU</t>
  </si>
  <si>
    <t>P1xQ1+P2xQ2 =&lt; budget 6295</t>
  </si>
  <si>
    <t>A. What is the highest utility that Shahid can derive, given his budget, from the consumption bundles listed in the table?</t>
  </si>
  <si>
    <t>Answer:</t>
  </si>
  <si>
    <r>
      <rPr>
        <rFont val="Calibri"/>
        <color theme="1"/>
      </rPr>
      <t>Steps: Firstly do P1xQ1+P2xQ2= , then find affordable budgets( exclude unaffordables ) Then highest affordable budget, and then find highest TU</t>
    </r>
    <r>
      <rPr>
        <rFont val="Calibri"/>
        <color theme="1"/>
        <sz val="8.0"/>
      </rPr>
      <t>B</t>
    </r>
    <r>
      <rPr>
        <rFont val="Calibri"/>
        <color theme="1"/>
        <sz val="11.0"/>
      </rPr>
      <t>+TU</t>
    </r>
    <r>
      <rPr>
        <rFont val="Calibri"/>
        <color theme="1"/>
        <sz val="8.0"/>
      </rPr>
      <t>R</t>
    </r>
    <r>
      <rPr>
        <rFont val="Calibri"/>
        <color theme="1"/>
        <sz val="11.0"/>
      </rPr>
      <t>.</t>
    </r>
  </si>
  <si>
    <t>B. What is the total expenditure needed to consume this bundle?</t>
  </si>
  <si>
    <t xml:space="preserve">Answer: </t>
  </si>
  <si>
    <t>(450 x 12.78)+ ( 271 x 2 )= 6293 where the monthly income is 6295. So, it is within affordable range</t>
  </si>
  <si>
    <t>Answer hint: from budget combination, ( P1 x Q1 ) + ( P2 x Q2 ) &lt;= total budget 6295</t>
  </si>
  <si>
    <t>C. What is the change in utility from brownies when the consumption of brownies increases from 4 per month to 5 per month?</t>
  </si>
  <si>
    <t xml:space="preserve">Abrar has a weekly income of £268. He uses this income to buy two goods: milkshakes and orange juice. Milkshake is sold by glasses, and the price of a glass of milkshake is £9. Orange juice </t>
  </si>
  <si>
    <t>is sold from a fountain and price is calculated based on the weight. The price of a a litre of orange juice is £8. Abrar has the option of selecting from 6 consumption bundles, shown in the table below.</t>
  </si>
  <si>
    <t>Milkshake</t>
  </si>
  <si>
    <r>
      <rPr>
        <rFont val="Calibri"/>
        <color theme="1"/>
        <sz val="11.0"/>
      </rPr>
      <t>dTU=(MU</t>
    </r>
    <r>
      <rPr>
        <rFont val="Calibri"/>
        <color theme="1"/>
        <sz val="8.0"/>
      </rPr>
      <t>f</t>
    </r>
    <r>
      <rPr>
        <rFont val="Calibri"/>
        <color theme="1"/>
        <sz val="11.0"/>
      </rPr>
      <t>*Q)</t>
    </r>
  </si>
  <si>
    <r>
      <rPr>
        <rFont val="Calibri"/>
        <color theme="1"/>
        <sz val="11.0"/>
      </rPr>
      <t>dTU</t>
    </r>
    <r>
      <rPr>
        <rFont val="Calibri"/>
        <color theme="1"/>
        <sz val="8.0"/>
      </rPr>
      <t>B</t>
    </r>
    <r>
      <rPr>
        <rFont val="Calibri"/>
        <color theme="1"/>
        <sz val="11.0"/>
      </rPr>
      <t>+dTU</t>
    </r>
    <r>
      <rPr>
        <rFont val="Calibri"/>
        <color theme="1"/>
        <sz val="8.0"/>
      </rPr>
      <t>f</t>
    </r>
  </si>
  <si>
    <r>
      <rPr>
        <rFont val="Calibri"/>
        <color theme="1"/>
        <sz val="11.0"/>
      </rPr>
      <t>dTU=(MU</t>
    </r>
    <r>
      <rPr>
        <rFont val="Calibri"/>
        <color theme="1"/>
        <sz val="8.0"/>
      </rPr>
      <t>f</t>
    </r>
    <r>
      <rPr>
        <rFont val="Calibri"/>
        <color theme="1"/>
        <sz val="11.0"/>
      </rPr>
      <t>*Q)</t>
    </r>
  </si>
  <si>
    <t>The highest utilility or maximum utility will get, where the particular bundle or consumption has equal MU/P. So, Bundle 4 provides Abrar the maximum utility as MU/P is equal in both area</t>
  </si>
  <si>
    <t>Q(i)</t>
  </si>
  <si>
    <t>Milkshakes</t>
  </si>
  <si>
    <t>Sandwich</t>
  </si>
  <si>
    <t>Total Utility Difference</t>
  </si>
  <si>
    <t>Price is 5$</t>
  </si>
  <si>
    <t>Price is 10$</t>
  </si>
  <si>
    <t>dTU= MU*Q</t>
  </si>
  <si>
    <t>dTU movie +dTU soda</t>
  </si>
  <si>
    <t>The Utility maximization combination is 4 milkshakes and 2 sandwiches, as there MU/P of both milkshake and sandwich are equal which is 20,( total dTU both is also highest 800 )</t>
  </si>
  <si>
    <t>Q(ii)</t>
  </si>
  <si>
    <t>Monthly income budget= 10,000 ;</t>
  </si>
  <si>
    <t>Price of burger:P1=</t>
  </si>
  <si>
    <t>Price of Pen:P2=</t>
  </si>
  <si>
    <t>Price of Burger</t>
  </si>
  <si>
    <t>Price of Pen</t>
  </si>
  <si>
    <t>Quantity of burger</t>
  </si>
  <si>
    <t>Quantity of Pen</t>
  </si>
  <si>
    <t>Q6.</t>
  </si>
  <si>
    <t>Q7</t>
  </si>
  <si>
    <t>Legos</t>
  </si>
  <si>
    <t>Guns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</si>
</sst>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0"/>
      <name val="Calibri"/>
      <scheme val="minor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sz val="11.0"/>
      <color rgb="FFC55A1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2" numFmtId="0" xfId="0" applyFont="1"/>
    <xf borderId="1" fillId="0" fontId="0" numFmtId="0" xfId="0" applyBorder="1" applyFont="1"/>
    <xf borderId="0" fillId="0" fontId="0" numFmtId="0" xfId="0" applyFont="1"/>
    <xf borderId="1" fillId="2" fontId="0" numFmtId="0" xfId="0" applyBorder="1" applyFill="1" applyFont="1"/>
    <xf borderId="0" fillId="0" fontId="3" numFmtId="0" xfId="0" applyFont="1"/>
    <xf borderId="1" fillId="2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2" fontId="2" numFmtId="0" xfId="0" applyBorder="1" applyFont="1"/>
    <xf borderId="4" fillId="2" fontId="0" numFmtId="0" xfId="0" applyBorder="1" applyFont="1"/>
    <xf borderId="5" fillId="0" fontId="0" numFmtId="0" xfId="0" applyBorder="1" applyFont="1"/>
    <xf borderId="6" fillId="2" fontId="0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6" numFmtId="0" xfId="0" applyBorder="1" applyFont="1"/>
    <xf borderId="6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610225" cy="5629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17.57"/>
    <col customWidth="1" min="4" max="4" width="19.14"/>
    <col customWidth="1" min="5" max="5" width="22.43"/>
    <col customWidth="1" min="6" max="10" width="8.71"/>
    <col customWidth="1" min="11" max="11" width="11.71"/>
    <col customWidth="1" min="12" max="12" width="15.29"/>
    <col customWidth="1" min="13" max="13" width="10.14"/>
    <col customWidth="1" min="14" max="14" width="23.14"/>
    <col customWidth="1" min="15" max="15" width="30.29"/>
    <col customWidth="1" min="16" max="26" width="8.71"/>
  </cols>
  <sheetData>
    <row r="1">
      <c r="A1" s="1" t="s">
        <v>0</v>
      </c>
    </row>
    <row r="3">
      <c r="H3" s="1" t="s">
        <v>1</v>
      </c>
    </row>
    <row r="4">
      <c r="C4" s="1" t="s">
        <v>2</v>
      </c>
      <c r="M4" s="1" t="s">
        <v>3</v>
      </c>
    </row>
    <row r="5">
      <c r="A5" s="2" t="s">
        <v>4</v>
      </c>
      <c r="B5" s="2" t="s">
        <v>5</v>
      </c>
      <c r="C5" s="3" t="s">
        <v>6</v>
      </c>
      <c r="D5" s="3" t="s">
        <v>7</v>
      </c>
      <c r="E5" s="3" t="s">
        <v>8</v>
      </c>
      <c r="F5" s="3"/>
      <c r="G5" s="3"/>
      <c r="H5" s="3"/>
      <c r="I5" s="3"/>
      <c r="J5" s="2" t="s">
        <v>4</v>
      </c>
      <c r="K5" s="2" t="s">
        <v>5</v>
      </c>
      <c r="L5" s="3" t="s">
        <v>6</v>
      </c>
      <c r="M5" s="3" t="s">
        <v>9</v>
      </c>
      <c r="N5" s="3" t="s">
        <v>8</v>
      </c>
      <c r="O5" s="3" t="s">
        <v>10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11</v>
      </c>
      <c r="B6" s="2" t="s">
        <v>12</v>
      </c>
      <c r="C6" s="3" t="s">
        <v>13</v>
      </c>
      <c r="D6" s="3" t="s">
        <v>14</v>
      </c>
      <c r="E6" s="3" t="s">
        <v>15</v>
      </c>
      <c r="F6" s="3"/>
      <c r="G6" s="3" t="s">
        <v>16</v>
      </c>
      <c r="H6" s="3"/>
      <c r="I6" s="3"/>
      <c r="J6" s="2" t="s">
        <v>11</v>
      </c>
      <c r="K6" s="2" t="s">
        <v>12</v>
      </c>
      <c r="L6" s="3" t="s">
        <v>13</v>
      </c>
      <c r="M6" s="3" t="s">
        <v>14</v>
      </c>
      <c r="N6" s="3" t="s">
        <v>15</v>
      </c>
      <c r="O6" s="3" t="s">
        <v>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0.0</v>
      </c>
      <c r="B7" s="4">
        <v>0.0</v>
      </c>
      <c r="C7" s="1" t="str">
        <f t="shared" ref="C7:C17" si="1">(B7-B6)/(A7-A6)</f>
        <v>#VALUE!</v>
      </c>
      <c r="D7" s="1">
        <v>8.0</v>
      </c>
      <c r="E7" s="1" t="str">
        <f t="shared" ref="E7:E17" si="2">C7/D7</f>
        <v>#VALUE!</v>
      </c>
      <c r="G7" s="1">
        <f t="shared" ref="G7:G17" si="3">B7+K7</f>
        <v>0</v>
      </c>
      <c r="J7" s="4">
        <v>0.0</v>
      </c>
      <c r="K7" s="4">
        <v>0.0</v>
      </c>
      <c r="L7" s="1" t="str">
        <f t="shared" ref="L7:L17" si="4">(K7-K6)/(J7-J6)</f>
        <v>#VALUE!</v>
      </c>
      <c r="M7" s="1">
        <v>4.0</v>
      </c>
      <c r="N7" s="1" t="str">
        <f t="shared" ref="N7:N17" si="5">L7/M7</f>
        <v>#VALUE!</v>
      </c>
      <c r="O7" s="1">
        <f t="shared" ref="O7:O17" si="6">(A7*D7)+(J7*M7)</f>
        <v>0</v>
      </c>
    </row>
    <row r="8">
      <c r="A8" s="4">
        <v>1.0</v>
      </c>
      <c r="B8" s="4">
        <v>50.0</v>
      </c>
      <c r="C8" s="1">
        <f t="shared" si="1"/>
        <v>50</v>
      </c>
      <c r="D8" s="1">
        <v>8.0</v>
      </c>
      <c r="E8" s="1">
        <f t="shared" si="2"/>
        <v>6.25</v>
      </c>
      <c r="G8" s="1">
        <f t="shared" si="3"/>
        <v>125</v>
      </c>
      <c r="J8" s="4">
        <v>1.0</v>
      </c>
      <c r="K8" s="4">
        <v>75.0</v>
      </c>
      <c r="L8" s="1">
        <f t="shared" si="4"/>
        <v>75</v>
      </c>
      <c r="M8" s="1">
        <v>4.0</v>
      </c>
      <c r="N8" s="1">
        <f t="shared" si="5"/>
        <v>18.75</v>
      </c>
      <c r="O8" s="1">
        <f t="shared" si="6"/>
        <v>12</v>
      </c>
    </row>
    <row r="9">
      <c r="A9" s="4">
        <v>2.0</v>
      </c>
      <c r="B9" s="4">
        <v>90.0</v>
      </c>
      <c r="C9" s="1">
        <f t="shared" si="1"/>
        <v>40</v>
      </c>
      <c r="D9" s="1">
        <v>8.0</v>
      </c>
      <c r="E9" s="1">
        <f t="shared" si="2"/>
        <v>5</v>
      </c>
      <c r="G9" s="1">
        <f t="shared" si="3"/>
        <v>213</v>
      </c>
      <c r="J9" s="4">
        <v>2.0</v>
      </c>
      <c r="K9" s="4">
        <v>123.0</v>
      </c>
      <c r="L9" s="1">
        <f t="shared" si="4"/>
        <v>48</v>
      </c>
      <c r="M9" s="1">
        <v>4.0</v>
      </c>
      <c r="N9" s="1">
        <f t="shared" si="5"/>
        <v>12</v>
      </c>
      <c r="O9" s="1">
        <f t="shared" si="6"/>
        <v>24</v>
      </c>
    </row>
    <row r="10">
      <c r="A10" s="4">
        <v>3.0</v>
      </c>
      <c r="B10" s="4">
        <v>122.0</v>
      </c>
      <c r="C10" s="1">
        <f t="shared" si="1"/>
        <v>32</v>
      </c>
      <c r="D10" s="1">
        <v>8.0</v>
      </c>
      <c r="E10" s="1">
        <f t="shared" si="2"/>
        <v>4</v>
      </c>
      <c r="G10" s="1">
        <f t="shared" si="3"/>
        <v>281</v>
      </c>
      <c r="J10" s="4">
        <v>3.0</v>
      </c>
      <c r="K10" s="4">
        <v>159.0</v>
      </c>
      <c r="L10" s="1">
        <f t="shared" si="4"/>
        <v>36</v>
      </c>
      <c r="M10" s="1">
        <v>4.0</v>
      </c>
      <c r="N10" s="1">
        <f t="shared" si="5"/>
        <v>9</v>
      </c>
      <c r="O10" s="1">
        <f t="shared" si="6"/>
        <v>36</v>
      </c>
    </row>
    <row r="11">
      <c r="A11" s="4">
        <v>4.0</v>
      </c>
      <c r="B11" s="4">
        <v>150.0</v>
      </c>
      <c r="C11" s="1">
        <f t="shared" si="1"/>
        <v>28</v>
      </c>
      <c r="D11" s="1">
        <v>8.0</v>
      </c>
      <c r="E11" s="1">
        <f t="shared" si="2"/>
        <v>3.5</v>
      </c>
      <c r="G11" s="1">
        <f t="shared" si="3"/>
        <v>333</v>
      </c>
      <c r="J11" s="4">
        <v>4.0</v>
      </c>
      <c r="K11" s="4">
        <v>183.0</v>
      </c>
      <c r="L11" s="1">
        <f t="shared" si="4"/>
        <v>24</v>
      </c>
      <c r="M11" s="1">
        <v>4.0</v>
      </c>
      <c r="N11" s="1">
        <f t="shared" si="5"/>
        <v>6</v>
      </c>
      <c r="O11" s="1">
        <f t="shared" si="6"/>
        <v>48</v>
      </c>
    </row>
    <row r="12">
      <c r="A12" s="4">
        <v>5.0</v>
      </c>
      <c r="B12" s="4">
        <v>176.0</v>
      </c>
      <c r="C12" s="1">
        <f t="shared" si="1"/>
        <v>26</v>
      </c>
      <c r="D12" s="1">
        <v>8.0</v>
      </c>
      <c r="E12" s="1">
        <f t="shared" si="2"/>
        <v>3.25</v>
      </c>
      <c r="G12" s="1">
        <f t="shared" si="3"/>
        <v>381</v>
      </c>
      <c r="J12" s="4">
        <v>5.0</v>
      </c>
      <c r="K12" s="4">
        <v>205.0</v>
      </c>
      <c r="L12" s="1">
        <f t="shared" si="4"/>
        <v>22</v>
      </c>
      <c r="M12" s="1">
        <v>4.0</v>
      </c>
      <c r="N12" s="1">
        <f t="shared" si="5"/>
        <v>5.5</v>
      </c>
      <c r="O12" s="1">
        <f t="shared" si="6"/>
        <v>60</v>
      </c>
    </row>
    <row r="13">
      <c r="A13" s="4">
        <v>6.0</v>
      </c>
      <c r="B13" s="4">
        <v>200.0</v>
      </c>
      <c r="C13" s="1">
        <f t="shared" si="1"/>
        <v>24</v>
      </c>
      <c r="D13" s="1">
        <v>8.0</v>
      </c>
      <c r="E13" s="1">
        <f t="shared" si="2"/>
        <v>3</v>
      </c>
      <c r="G13" s="1">
        <f t="shared" si="3"/>
        <v>425</v>
      </c>
      <c r="J13" s="4">
        <v>6.0</v>
      </c>
      <c r="K13" s="4">
        <v>225.0</v>
      </c>
      <c r="L13" s="1">
        <f t="shared" si="4"/>
        <v>20</v>
      </c>
      <c r="M13" s="1">
        <v>4.0</v>
      </c>
      <c r="N13" s="1">
        <f t="shared" si="5"/>
        <v>5</v>
      </c>
      <c r="O13" s="1">
        <f t="shared" si="6"/>
        <v>72</v>
      </c>
    </row>
    <row r="14">
      <c r="A14" s="4">
        <v>7.0</v>
      </c>
      <c r="B14" s="4">
        <v>222.0</v>
      </c>
      <c r="C14" s="1">
        <f t="shared" si="1"/>
        <v>22</v>
      </c>
      <c r="D14" s="1">
        <v>8.0</v>
      </c>
      <c r="E14" s="1">
        <f t="shared" si="2"/>
        <v>2.75</v>
      </c>
      <c r="G14" s="1">
        <f t="shared" si="3"/>
        <v>460</v>
      </c>
      <c r="J14" s="4">
        <v>7.0</v>
      </c>
      <c r="K14" s="4">
        <v>238.0</v>
      </c>
      <c r="L14" s="1">
        <f t="shared" si="4"/>
        <v>13</v>
      </c>
      <c r="M14" s="1">
        <v>4.0</v>
      </c>
      <c r="N14" s="1">
        <f t="shared" si="5"/>
        <v>3.25</v>
      </c>
      <c r="O14" s="1">
        <f t="shared" si="6"/>
        <v>84</v>
      </c>
    </row>
    <row r="15">
      <c r="A15" s="4">
        <v>8.0</v>
      </c>
      <c r="B15" s="4">
        <v>242.0</v>
      </c>
      <c r="C15" s="1">
        <f t="shared" si="1"/>
        <v>20</v>
      </c>
      <c r="D15" s="1">
        <v>8.0</v>
      </c>
      <c r="E15" s="1">
        <f t="shared" si="2"/>
        <v>2.5</v>
      </c>
      <c r="G15" s="1">
        <f t="shared" si="3"/>
        <v>490</v>
      </c>
      <c r="J15" s="4">
        <v>8.0</v>
      </c>
      <c r="K15" s="4">
        <v>248.0</v>
      </c>
      <c r="L15" s="1">
        <f t="shared" si="4"/>
        <v>10</v>
      </c>
      <c r="M15" s="1">
        <v>4.0</v>
      </c>
      <c r="N15" s="1">
        <f t="shared" si="5"/>
        <v>2.5</v>
      </c>
      <c r="O15" s="1">
        <f t="shared" si="6"/>
        <v>96</v>
      </c>
    </row>
    <row r="16">
      <c r="A16" s="4">
        <v>9.0</v>
      </c>
      <c r="B16" s="4">
        <v>259.0</v>
      </c>
      <c r="C16" s="1">
        <f t="shared" si="1"/>
        <v>17</v>
      </c>
      <c r="D16" s="1">
        <v>8.0</v>
      </c>
      <c r="E16" s="1">
        <f t="shared" si="2"/>
        <v>2.125</v>
      </c>
      <c r="G16" s="1">
        <f t="shared" si="3"/>
        <v>514</v>
      </c>
      <c r="J16" s="4">
        <v>9.0</v>
      </c>
      <c r="K16" s="4">
        <v>255.0</v>
      </c>
      <c r="L16" s="1">
        <f t="shared" si="4"/>
        <v>7</v>
      </c>
      <c r="M16" s="1">
        <v>4.0</v>
      </c>
      <c r="N16" s="1">
        <f t="shared" si="5"/>
        <v>1.75</v>
      </c>
      <c r="O16" s="1">
        <f t="shared" si="6"/>
        <v>108</v>
      </c>
    </row>
    <row r="17">
      <c r="A17" s="4">
        <v>10.0</v>
      </c>
      <c r="B17" s="4">
        <v>275.0</v>
      </c>
      <c r="C17" s="1">
        <f t="shared" si="1"/>
        <v>16</v>
      </c>
      <c r="D17" s="1">
        <v>8.0</v>
      </c>
      <c r="E17" s="1">
        <f t="shared" si="2"/>
        <v>2</v>
      </c>
      <c r="G17" s="1">
        <f t="shared" si="3"/>
        <v>535</v>
      </c>
      <c r="J17" s="4">
        <v>10.0</v>
      </c>
      <c r="K17" s="4">
        <v>260.0</v>
      </c>
      <c r="L17" s="1">
        <f t="shared" si="4"/>
        <v>5</v>
      </c>
      <c r="M17" s="1">
        <v>4.0</v>
      </c>
      <c r="N17" s="1">
        <f t="shared" si="5"/>
        <v>1.25</v>
      </c>
      <c r="O17" s="1">
        <f t="shared" si="6"/>
        <v>120</v>
      </c>
    </row>
    <row r="19">
      <c r="A19" s="3" t="s">
        <v>18</v>
      </c>
    </row>
    <row r="20">
      <c r="A20" s="1" t="s">
        <v>19</v>
      </c>
    </row>
    <row r="21" ht="15.75" customHeight="1">
      <c r="A21" s="3" t="s">
        <v>20</v>
      </c>
    </row>
    <row r="22" ht="15.75" customHeight="1">
      <c r="A22" s="1" t="s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/>
    <row r="24" ht="15.75" customHeight="1"/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/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14"/>
    <col customWidth="1" min="4" max="4" width="15.71"/>
    <col customWidth="1" min="5" max="5" width="17.0"/>
    <col customWidth="1" min="6" max="6" width="18.86"/>
    <col customWidth="1" min="7" max="26" width="8.71"/>
  </cols>
  <sheetData>
    <row r="9">
      <c r="E9" s="1" t="s">
        <v>22</v>
      </c>
    </row>
    <row r="10">
      <c r="C10" s="1" t="s">
        <v>23</v>
      </c>
      <c r="D10" s="5" t="s">
        <v>24</v>
      </c>
      <c r="E10" s="5" t="s">
        <v>25</v>
      </c>
      <c r="F10" s="1" t="s">
        <v>26</v>
      </c>
      <c r="G10" s="6" t="s">
        <v>27</v>
      </c>
      <c r="H10" s="6"/>
      <c r="I10" s="6"/>
      <c r="J10" s="6"/>
      <c r="K10" s="6"/>
    </row>
    <row r="11">
      <c r="C11" s="1">
        <v>55.0</v>
      </c>
      <c r="D11" s="5">
        <v>45.0</v>
      </c>
      <c r="E11" s="1">
        <v>28.0</v>
      </c>
      <c r="F11" s="1">
        <v>32.0</v>
      </c>
      <c r="G11" s="6">
        <f t="shared" ref="G11:G17" si="1">C11*E11+D11*F11</f>
        <v>2980</v>
      </c>
      <c r="H11" s="6"/>
      <c r="I11" s="6"/>
      <c r="J11" s="6"/>
      <c r="K11" s="6"/>
    </row>
    <row r="12">
      <c r="C12" s="1">
        <v>55.0</v>
      </c>
      <c r="D12" s="5">
        <v>45.0</v>
      </c>
      <c r="E12" s="1">
        <v>31.0</v>
      </c>
      <c r="F12" s="1">
        <v>29.0</v>
      </c>
      <c r="G12" s="6">
        <f t="shared" si="1"/>
        <v>3010</v>
      </c>
      <c r="H12" s="6"/>
      <c r="I12" s="6"/>
      <c r="J12" s="6"/>
      <c r="K12" s="6"/>
    </row>
    <row r="13">
      <c r="C13" s="1">
        <v>55.0</v>
      </c>
      <c r="D13" s="5">
        <v>45.0</v>
      </c>
      <c r="E13" s="1">
        <v>32.0</v>
      </c>
      <c r="F13" s="1">
        <v>28.0</v>
      </c>
      <c r="G13" s="6">
        <f t="shared" si="1"/>
        <v>3020</v>
      </c>
      <c r="H13" s="6"/>
      <c r="I13" s="6"/>
      <c r="J13" s="6"/>
      <c r="K13" s="6"/>
    </row>
    <row r="14">
      <c r="C14" s="1">
        <v>55.0</v>
      </c>
      <c r="D14" s="5">
        <v>45.0</v>
      </c>
      <c r="E14" s="1">
        <v>30.0</v>
      </c>
      <c r="F14" s="1">
        <v>30.0</v>
      </c>
      <c r="G14" s="6">
        <f t="shared" si="1"/>
        <v>3000</v>
      </c>
      <c r="H14" s="6"/>
      <c r="I14" s="6"/>
      <c r="J14" s="6"/>
      <c r="K14" s="6"/>
    </row>
    <row r="15">
      <c r="C15" s="1">
        <v>55.0</v>
      </c>
      <c r="D15" s="5">
        <v>45.0</v>
      </c>
      <c r="E15" s="1">
        <v>0.0</v>
      </c>
      <c r="F15" s="1">
        <v>67.0</v>
      </c>
      <c r="G15" s="6">
        <f t="shared" si="1"/>
        <v>3015</v>
      </c>
      <c r="H15" s="6"/>
      <c r="I15" s="6"/>
      <c r="J15" s="6"/>
      <c r="K15" s="6"/>
    </row>
    <row r="16">
      <c r="C16" s="1">
        <v>55.0</v>
      </c>
      <c r="D16" s="5">
        <v>45.0</v>
      </c>
      <c r="E16" s="1">
        <v>55.0</v>
      </c>
      <c r="F16" s="1">
        <v>0.0</v>
      </c>
      <c r="G16" s="6">
        <f t="shared" si="1"/>
        <v>3025</v>
      </c>
      <c r="H16" s="6"/>
      <c r="I16" s="6"/>
      <c r="J16" s="6"/>
      <c r="K16" s="6"/>
    </row>
    <row r="17">
      <c r="C17" s="1">
        <v>55.0</v>
      </c>
      <c r="D17" s="5">
        <v>45.0</v>
      </c>
      <c r="E17" s="1">
        <v>99.0</v>
      </c>
      <c r="F17" s="1">
        <v>1.0</v>
      </c>
      <c r="G17" s="6">
        <f t="shared" si="1"/>
        <v>5490</v>
      </c>
      <c r="H17" s="6"/>
      <c r="I17" s="6"/>
      <c r="J17" s="6"/>
      <c r="K17" s="6"/>
    </row>
    <row r="19">
      <c r="D19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71"/>
    <col customWidth="1" min="4" max="4" width="18.43"/>
    <col customWidth="1" min="5" max="5" width="17.86"/>
    <col customWidth="1" min="6" max="6" width="8.71"/>
    <col customWidth="1" min="7" max="7" width="8.0"/>
    <col customWidth="1" min="8" max="8" width="6.0"/>
    <col customWidth="1" min="9" max="9" width="10.86"/>
    <col customWidth="1" min="10" max="10" width="3.71"/>
    <col customWidth="1" min="11" max="11" width="8.71"/>
    <col customWidth="1" min="12" max="12" width="18.29"/>
    <col customWidth="1" min="13" max="13" width="18.14"/>
    <col customWidth="1" min="14" max="14" width="6.0"/>
    <col customWidth="1" min="15" max="15" width="13.0"/>
    <col customWidth="1" min="16" max="16" width="27.29"/>
    <col customWidth="1" min="17" max="26" width="8.71"/>
  </cols>
  <sheetData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>
      <c r="A5" s="3" t="s">
        <v>29</v>
      </c>
      <c r="P5" s="7"/>
      <c r="Q5" s="7"/>
    </row>
    <row r="6">
      <c r="A6" s="3" t="s">
        <v>30</v>
      </c>
      <c r="P6" s="7"/>
      <c r="Q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 t="s">
        <v>10</v>
      </c>
      <c r="Q7" s="7"/>
    </row>
    <row r="8">
      <c r="A8" s="3"/>
      <c r="B8" s="8" t="s">
        <v>11</v>
      </c>
      <c r="C8" s="8" t="s">
        <v>13</v>
      </c>
      <c r="D8" s="9" t="s">
        <v>31</v>
      </c>
      <c r="E8" s="8" t="s">
        <v>14</v>
      </c>
      <c r="F8" s="10" t="s">
        <v>15</v>
      </c>
      <c r="G8" s="3"/>
      <c r="H8" s="3"/>
      <c r="I8" s="3" t="s">
        <v>32</v>
      </c>
      <c r="J8" s="3"/>
      <c r="K8" s="8" t="s">
        <v>11</v>
      </c>
      <c r="L8" s="8" t="s">
        <v>33</v>
      </c>
      <c r="M8" s="3" t="s">
        <v>34</v>
      </c>
      <c r="N8" s="11" t="s">
        <v>14</v>
      </c>
      <c r="O8" s="3" t="s">
        <v>15</v>
      </c>
      <c r="P8" s="3" t="s">
        <v>35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6">
        <v>0.0</v>
      </c>
      <c r="C9" s="6">
        <v>0.0</v>
      </c>
      <c r="D9" s="1">
        <v>0.0</v>
      </c>
      <c r="E9" s="6">
        <v>271.0</v>
      </c>
      <c r="F9" s="1">
        <f t="shared" ref="F9:F14" si="1">C9/E9</f>
        <v>0</v>
      </c>
      <c r="I9" s="1">
        <f t="shared" ref="I9:I14" si="2">D9+L9</f>
        <v>1551.03</v>
      </c>
      <c r="K9" s="6">
        <v>15.99</v>
      </c>
      <c r="L9" s="6">
        <v>1551.03</v>
      </c>
      <c r="M9" s="1">
        <v>0.0</v>
      </c>
      <c r="N9" s="12">
        <v>450.0</v>
      </c>
      <c r="O9" s="1">
        <f t="shared" ref="O9:O14" si="3">M9/N9</f>
        <v>0</v>
      </c>
      <c r="P9" s="1">
        <f t="shared" ref="P9:P14" si="4">(E9*B9)+(N9*K9)</f>
        <v>7195.5</v>
      </c>
    </row>
    <row r="10">
      <c r="B10" s="6">
        <v>1.0</v>
      </c>
      <c r="C10" s="6">
        <v>97.0</v>
      </c>
      <c r="D10" s="1">
        <f t="shared" ref="D10:D13" si="5">(C10*(B10-B9))+D9</f>
        <v>97</v>
      </c>
      <c r="E10" s="6">
        <v>271.0</v>
      </c>
      <c r="F10" s="1">
        <f t="shared" si="1"/>
        <v>0.3579335793</v>
      </c>
      <c r="I10" s="1">
        <f t="shared" si="2"/>
        <v>1492.83</v>
      </c>
      <c r="K10" s="6">
        <v>14.39</v>
      </c>
      <c r="L10" s="6">
        <v>1395.83</v>
      </c>
      <c r="M10" s="1">
        <f t="shared" ref="M10:M14" si="6">(L10-L9)/(K10-K9)</f>
        <v>97</v>
      </c>
      <c r="N10" s="12">
        <v>450.0</v>
      </c>
      <c r="O10" s="1">
        <f t="shared" si="3"/>
        <v>0.2155555556</v>
      </c>
      <c r="P10" s="1">
        <f t="shared" si="4"/>
        <v>6746.5</v>
      </c>
    </row>
    <row r="11">
      <c r="B11" s="6">
        <v>2.0</v>
      </c>
      <c r="C11" s="6">
        <v>92.15</v>
      </c>
      <c r="D11" s="1">
        <f t="shared" si="5"/>
        <v>189.15</v>
      </c>
      <c r="E11" s="6">
        <v>271.0</v>
      </c>
      <c r="F11" s="1">
        <f t="shared" si="1"/>
        <v>0.3400369004</v>
      </c>
      <c r="I11" s="1">
        <f t="shared" si="2"/>
        <v>1428.81</v>
      </c>
      <c r="K11" s="6">
        <v>12.78</v>
      </c>
      <c r="L11" s="6">
        <v>1239.66</v>
      </c>
      <c r="M11" s="1">
        <f t="shared" si="6"/>
        <v>97</v>
      </c>
      <c r="N11" s="12">
        <v>450.0</v>
      </c>
      <c r="O11" s="1">
        <f t="shared" si="3"/>
        <v>0.2155555556</v>
      </c>
      <c r="P11" s="1">
        <f t="shared" si="4"/>
        <v>6293</v>
      </c>
    </row>
    <row r="12">
      <c r="B12" s="6">
        <v>3.0</v>
      </c>
      <c r="C12" s="6">
        <v>87.54</v>
      </c>
      <c r="D12" s="1">
        <f t="shared" si="5"/>
        <v>276.69</v>
      </c>
      <c r="E12" s="6">
        <v>271.0</v>
      </c>
      <c r="F12" s="1">
        <f t="shared" si="1"/>
        <v>0.3230258303</v>
      </c>
      <c r="I12" s="1">
        <f t="shared" si="2"/>
        <v>1361.15</v>
      </c>
      <c r="K12" s="6">
        <v>11.18</v>
      </c>
      <c r="L12" s="6">
        <v>1084.46</v>
      </c>
      <c r="M12" s="1">
        <f t="shared" si="6"/>
        <v>97</v>
      </c>
      <c r="N12" s="12">
        <v>450.0</v>
      </c>
      <c r="O12" s="1">
        <f t="shared" si="3"/>
        <v>0.2155555556</v>
      </c>
      <c r="P12" s="1">
        <f t="shared" si="4"/>
        <v>5844</v>
      </c>
    </row>
    <row r="13">
      <c r="B13" s="6">
        <v>4.0</v>
      </c>
      <c r="C13" s="6">
        <v>83.16</v>
      </c>
      <c r="D13" s="1">
        <f t="shared" si="5"/>
        <v>359.85</v>
      </c>
      <c r="E13" s="6">
        <v>271.0</v>
      </c>
      <c r="F13" s="1">
        <f t="shared" si="1"/>
        <v>0.3068634686</v>
      </c>
      <c r="I13" s="1">
        <f t="shared" si="2"/>
        <v>1289.11</v>
      </c>
      <c r="K13" s="6">
        <v>9.58</v>
      </c>
      <c r="L13" s="6">
        <v>929.26</v>
      </c>
      <c r="M13" s="1">
        <f t="shared" si="6"/>
        <v>97</v>
      </c>
      <c r="N13" s="12">
        <v>450.0</v>
      </c>
      <c r="O13" s="1">
        <f t="shared" si="3"/>
        <v>0.2155555556</v>
      </c>
      <c r="P13" s="1">
        <f t="shared" si="4"/>
        <v>5395</v>
      </c>
    </row>
    <row r="14">
      <c r="B14" s="6">
        <v>5.0</v>
      </c>
      <c r="C14" s="13">
        <f>(D14-D13)/(B14-B13)</f>
        <v>79</v>
      </c>
      <c r="D14" s="14">
        <v>438.85</v>
      </c>
      <c r="E14" s="6">
        <v>271.0</v>
      </c>
      <c r="F14" s="1">
        <f t="shared" si="1"/>
        <v>0.2915129151</v>
      </c>
      <c r="I14" s="1">
        <f t="shared" si="2"/>
        <v>1212.91</v>
      </c>
      <c r="K14" s="6">
        <v>7.98</v>
      </c>
      <c r="L14" s="6">
        <v>774.06</v>
      </c>
      <c r="M14" s="1">
        <f t="shared" si="6"/>
        <v>97</v>
      </c>
      <c r="N14" s="12">
        <v>450.0</v>
      </c>
      <c r="O14" s="1">
        <f t="shared" si="3"/>
        <v>0.2155555556</v>
      </c>
      <c r="P14" s="1">
        <f t="shared" si="4"/>
        <v>4946</v>
      </c>
    </row>
    <row r="17">
      <c r="B17" s="3" t="s">
        <v>36</v>
      </c>
    </row>
    <row r="18">
      <c r="B18" s="1" t="s">
        <v>37</v>
      </c>
      <c r="C18" s="1">
        <v>1428.81</v>
      </c>
      <c r="E18" s="1" t="s">
        <v>38</v>
      </c>
    </row>
    <row r="20">
      <c r="B20" s="3" t="s">
        <v>39</v>
      </c>
    </row>
    <row r="21" ht="15.75" customHeight="1">
      <c r="B21" s="1" t="s">
        <v>40</v>
      </c>
      <c r="C21" s="1" t="s">
        <v>41</v>
      </c>
      <c r="K21" s="1" t="s">
        <v>42</v>
      </c>
    </row>
    <row r="22" ht="15.75" customHeight="1"/>
    <row r="23" ht="15.75" customHeight="1">
      <c r="A23" s="15"/>
      <c r="B23" s="16" t="s">
        <v>43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 t="s">
        <v>40</v>
      </c>
      <c r="C24" s="15">
        <v>79.0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/>
    <row r="26" ht="15.75" customHeight="1"/>
    <row r="27" ht="15.75" customHeight="1"/>
    <row r="28" ht="15.75" customHeight="1">
      <c r="B28" s="3" t="s">
        <v>44</v>
      </c>
    </row>
    <row r="29" ht="15.75" customHeight="1">
      <c r="B29" s="3" t="s">
        <v>45</v>
      </c>
    </row>
    <row r="30" ht="15.75" customHeight="1"/>
    <row r="31" ht="15.75" customHeight="1">
      <c r="D31" s="1" t="s">
        <v>46</v>
      </c>
    </row>
    <row r="32" ht="15.75" customHeight="1">
      <c r="B32" s="4"/>
      <c r="C32" s="4" t="s">
        <v>11</v>
      </c>
      <c r="D32" s="4" t="s">
        <v>34</v>
      </c>
      <c r="E32" s="4" t="s">
        <v>47</v>
      </c>
      <c r="F32" s="4" t="s">
        <v>14</v>
      </c>
      <c r="G32" s="4" t="s">
        <v>15</v>
      </c>
      <c r="H32" s="4"/>
      <c r="I32" s="4" t="s">
        <v>48</v>
      </c>
      <c r="J32" s="4"/>
      <c r="K32" s="4" t="s">
        <v>11</v>
      </c>
      <c r="L32" s="4" t="s">
        <v>34</v>
      </c>
      <c r="M32" s="4" t="s">
        <v>49</v>
      </c>
      <c r="N32" s="4" t="s">
        <v>14</v>
      </c>
      <c r="O32" s="4" t="s">
        <v>15</v>
      </c>
    </row>
    <row r="33" ht="15.75" customHeight="1">
      <c r="B33" s="4">
        <v>1.0</v>
      </c>
      <c r="C33" s="4">
        <v>5.0</v>
      </c>
      <c r="D33" s="4">
        <v>40.0</v>
      </c>
      <c r="E33" s="4"/>
      <c r="F33" s="4">
        <v>9.0</v>
      </c>
      <c r="G33" s="4">
        <f t="shared" ref="G33:G38" si="7">D33/F33</f>
        <v>4.444444444</v>
      </c>
      <c r="H33" s="4"/>
      <c r="I33" s="4"/>
      <c r="J33" s="4"/>
      <c r="K33" s="4">
        <v>27.88</v>
      </c>
      <c r="L33" s="4">
        <v>22.23</v>
      </c>
      <c r="M33" s="4"/>
      <c r="N33" s="4">
        <v>8.0</v>
      </c>
      <c r="O33" s="4">
        <f t="shared" ref="O33:O38" si="8">L33/N33</f>
        <v>2.77875</v>
      </c>
    </row>
    <row r="34" ht="15.75" customHeight="1">
      <c r="B34" s="4">
        <v>2.0</v>
      </c>
      <c r="C34" s="4">
        <v>7.0</v>
      </c>
      <c r="D34" s="4">
        <v>38.0</v>
      </c>
      <c r="E34" s="4"/>
      <c r="F34" s="4">
        <v>9.0</v>
      </c>
      <c r="G34" s="4">
        <f t="shared" si="7"/>
        <v>4.222222222</v>
      </c>
      <c r="H34" s="4"/>
      <c r="I34" s="4"/>
      <c r="J34" s="4"/>
      <c r="K34" s="4">
        <v>25.63</v>
      </c>
      <c r="L34" s="4">
        <v>24.7</v>
      </c>
      <c r="M34" s="4"/>
      <c r="N34" s="4">
        <v>8.0</v>
      </c>
      <c r="O34" s="4">
        <f t="shared" si="8"/>
        <v>3.0875</v>
      </c>
    </row>
    <row r="35" ht="15.75" customHeight="1">
      <c r="B35" s="4">
        <v>3.0</v>
      </c>
      <c r="C35" s="4">
        <v>8.0</v>
      </c>
      <c r="D35" s="4">
        <v>36.1</v>
      </c>
      <c r="E35" s="4"/>
      <c r="F35" s="4">
        <v>9.0</v>
      </c>
      <c r="G35" s="4">
        <f t="shared" si="7"/>
        <v>4.011111111</v>
      </c>
      <c r="H35" s="4"/>
      <c r="I35" s="4"/>
      <c r="J35" s="4"/>
      <c r="K35" s="4">
        <v>24.5</v>
      </c>
      <c r="L35" s="4">
        <v>27.44</v>
      </c>
      <c r="M35" s="4"/>
      <c r="N35" s="4">
        <v>8.0</v>
      </c>
      <c r="O35" s="4">
        <f t="shared" si="8"/>
        <v>3.43</v>
      </c>
    </row>
    <row r="36" ht="15.75" customHeight="1">
      <c r="A36" s="17"/>
      <c r="B36" s="18">
        <v>4.0</v>
      </c>
      <c r="C36" s="18">
        <v>11.0</v>
      </c>
      <c r="D36" s="18">
        <v>34.3</v>
      </c>
      <c r="E36" s="18"/>
      <c r="F36" s="18">
        <v>9.0</v>
      </c>
      <c r="G36" s="18">
        <f t="shared" si="7"/>
        <v>3.811111111</v>
      </c>
      <c r="H36" s="18"/>
      <c r="I36" s="18"/>
      <c r="J36" s="18"/>
      <c r="K36" s="18">
        <v>21.13</v>
      </c>
      <c r="L36" s="18">
        <v>30.49</v>
      </c>
      <c r="M36" s="18"/>
      <c r="N36" s="18">
        <v>8.0</v>
      </c>
      <c r="O36" s="18">
        <f t="shared" si="8"/>
        <v>3.81125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B37" s="4">
        <v>5.0</v>
      </c>
      <c r="C37" s="4">
        <v>13.0</v>
      </c>
      <c r="D37" s="4">
        <v>32.58</v>
      </c>
      <c r="E37" s="4"/>
      <c r="F37" s="4">
        <v>9.0</v>
      </c>
      <c r="G37" s="4">
        <f t="shared" si="7"/>
        <v>3.62</v>
      </c>
      <c r="H37" s="4"/>
      <c r="I37" s="4"/>
      <c r="J37" s="4"/>
      <c r="K37" s="4">
        <v>18.88</v>
      </c>
      <c r="L37" s="4">
        <v>38.11</v>
      </c>
      <c r="M37" s="4"/>
      <c r="N37" s="4">
        <v>8.0</v>
      </c>
      <c r="O37" s="4">
        <f t="shared" si="8"/>
        <v>4.76375</v>
      </c>
    </row>
    <row r="38" ht="15.75" customHeight="1">
      <c r="B38" s="4">
        <v>6.0</v>
      </c>
      <c r="C38" s="4">
        <v>14.0</v>
      </c>
      <c r="D38" s="4">
        <v>30.95</v>
      </c>
      <c r="E38" s="4"/>
      <c r="F38" s="4">
        <v>9.0</v>
      </c>
      <c r="G38" s="4">
        <f t="shared" si="7"/>
        <v>3.438888889</v>
      </c>
      <c r="H38" s="4"/>
      <c r="I38" s="4"/>
      <c r="J38" s="4"/>
      <c r="K38" s="4">
        <v>17.75</v>
      </c>
      <c r="L38" s="4">
        <v>47.64</v>
      </c>
      <c r="M38" s="4"/>
      <c r="N38" s="4">
        <v>8.0</v>
      </c>
      <c r="O38" s="4">
        <f t="shared" si="8"/>
        <v>5.955</v>
      </c>
    </row>
    <row r="39" ht="15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15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5.75" customHeight="1"/>
    <row r="43" ht="15.75" customHeight="1"/>
    <row r="44" ht="15.75" customHeight="1">
      <c r="B44" s="1">
        <v>1.0</v>
      </c>
      <c r="C44" s="1" t="s">
        <v>50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1.0"/>
    <col customWidth="1" min="3" max="3" width="17.14"/>
    <col customWidth="1" min="4" max="4" width="17.43"/>
    <col customWidth="1" min="5" max="5" width="15.29"/>
    <col customWidth="1" min="6" max="6" width="9.86"/>
    <col customWidth="1" min="7" max="8" width="8.71"/>
    <col customWidth="1" min="9" max="9" width="4.43"/>
    <col customWidth="1" min="10" max="10" width="5.0"/>
    <col customWidth="1" min="11" max="11" width="20.86"/>
    <col customWidth="1" min="12" max="12" width="14.71"/>
    <col customWidth="1" min="13" max="14" width="14.29"/>
    <col customWidth="1" min="15" max="26" width="8.71"/>
  </cols>
  <sheetData>
    <row r="3">
      <c r="B3" s="1" t="s">
        <v>51</v>
      </c>
    </row>
    <row r="4">
      <c r="D4" s="1" t="s">
        <v>52</v>
      </c>
      <c r="N4" s="1" t="s">
        <v>53</v>
      </c>
    </row>
    <row r="5">
      <c r="A5" s="19" t="s">
        <v>4</v>
      </c>
      <c r="B5" s="3" t="s">
        <v>54</v>
      </c>
      <c r="C5" s="8" t="s">
        <v>6</v>
      </c>
      <c r="D5" s="8" t="s">
        <v>55</v>
      </c>
      <c r="E5" s="3" t="s">
        <v>8</v>
      </c>
      <c r="F5" s="3"/>
      <c r="G5" s="3"/>
      <c r="H5" s="3"/>
      <c r="I5" s="3"/>
      <c r="J5" s="19" t="s">
        <v>4</v>
      </c>
      <c r="K5" s="3" t="s">
        <v>54</v>
      </c>
      <c r="L5" s="8" t="s">
        <v>6</v>
      </c>
      <c r="M5" s="8" t="s">
        <v>56</v>
      </c>
      <c r="N5" s="3" t="s">
        <v>8</v>
      </c>
    </row>
    <row r="6">
      <c r="A6" s="19" t="s">
        <v>11</v>
      </c>
      <c r="B6" s="3" t="s">
        <v>57</v>
      </c>
      <c r="C6" s="8" t="s">
        <v>34</v>
      </c>
      <c r="D6" s="8" t="s">
        <v>14</v>
      </c>
      <c r="E6" s="3" t="s">
        <v>15</v>
      </c>
      <c r="F6" s="3"/>
      <c r="G6" s="3" t="s">
        <v>58</v>
      </c>
      <c r="H6" s="3"/>
      <c r="I6" s="3"/>
      <c r="J6" s="19" t="s">
        <v>11</v>
      </c>
      <c r="K6" s="3" t="s">
        <v>57</v>
      </c>
      <c r="L6" s="8" t="s">
        <v>34</v>
      </c>
      <c r="M6" s="8" t="s">
        <v>14</v>
      </c>
      <c r="N6" s="3" t="s">
        <v>15</v>
      </c>
    </row>
    <row r="7">
      <c r="A7" s="14">
        <v>2.0</v>
      </c>
      <c r="B7" s="5">
        <f t="shared" ref="B7:B9" si="1">C7*A7</f>
        <v>260</v>
      </c>
      <c r="C7" s="6">
        <v>130.0</v>
      </c>
      <c r="D7" s="6">
        <v>5.0</v>
      </c>
      <c r="E7" s="1">
        <f t="shared" ref="E7:E9" si="2">C7/D7</f>
        <v>26</v>
      </c>
      <c r="G7" s="1">
        <f t="shared" ref="G7:G9" si="3">B7+K7</f>
        <v>770</v>
      </c>
      <c r="J7" s="14">
        <v>3.0</v>
      </c>
      <c r="K7" s="5">
        <f t="shared" ref="K7:K9" si="4">L7*J7</f>
        <v>510</v>
      </c>
      <c r="L7" s="6">
        <f>170</f>
        <v>170</v>
      </c>
      <c r="M7" s="6">
        <v>10.0</v>
      </c>
      <c r="N7" s="1">
        <f t="shared" ref="N7:N9" si="5">L7/M7</f>
        <v>17</v>
      </c>
    </row>
    <row r="8">
      <c r="A8" s="14">
        <v>4.0</v>
      </c>
      <c r="B8" s="5">
        <f t="shared" si="1"/>
        <v>400</v>
      </c>
      <c r="C8" s="6">
        <v>100.0</v>
      </c>
      <c r="D8" s="6">
        <v>5.0</v>
      </c>
      <c r="E8" s="1">
        <f t="shared" si="2"/>
        <v>20</v>
      </c>
      <c r="G8" s="1">
        <f t="shared" si="3"/>
        <v>800</v>
      </c>
      <c r="J8" s="14">
        <v>2.0</v>
      </c>
      <c r="K8" s="5">
        <f t="shared" si="4"/>
        <v>400</v>
      </c>
      <c r="L8" s="6">
        <v>200.0</v>
      </c>
      <c r="M8" s="6">
        <v>10.0</v>
      </c>
      <c r="N8" s="1">
        <f t="shared" si="5"/>
        <v>20</v>
      </c>
    </row>
    <row r="9">
      <c r="A9" s="14">
        <v>6.0</v>
      </c>
      <c r="B9" s="5">
        <f t="shared" si="1"/>
        <v>480</v>
      </c>
      <c r="C9" s="6">
        <v>80.0</v>
      </c>
      <c r="D9" s="6">
        <v>5.0</v>
      </c>
      <c r="E9" s="1">
        <f t="shared" si="2"/>
        <v>16</v>
      </c>
      <c r="G9" s="1">
        <f t="shared" si="3"/>
        <v>710</v>
      </c>
      <c r="J9" s="14">
        <v>1.0</v>
      </c>
      <c r="K9" s="5">
        <f t="shared" si="4"/>
        <v>230</v>
      </c>
      <c r="L9" s="6">
        <v>230.0</v>
      </c>
      <c r="M9" s="6">
        <v>10.0</v>
      </c>
      <c r="N9" s="1">
        <f t="shared" si="5"/>
        <v>23</v>
      </c>
    </row>
    <row r="12">
      <c r="A12" s="5"/>
      <c r="B12" s="5" t="s">
        <v>59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>
      <c r="A17" s="5"/>
      <c r="B17" s="5" t="s">
        <v>60</v>
      </c>
      <c r="C17" s="5" t="s">
        <v>61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>
      <c r="A18" s="5"/>
      <c r="B18" s="5"/>
      <c r="C18" s="5" t="s">
        <v>62</v>
      </c>
      <c r="D18" s="5">
        <v>500.0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5"/>
      <c r="B19" s="5"/>
      <c r="C19" s="5" t="s">
        <v>63</v>
      </c>
      <c r="D19" s="5">
        <v>100.0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15.75" customHeight="1">
      <c r="B21" s="1" t="s">
        <v>64</v>
      </c>
      <c r="C21" s="5" t="s">
        <v>65</v>
      </c>
      <c r="D21" s="5" t="s">
        <v>66</v>
      </c>
      <c r="E21" s="1" t="s">
        <v>67</v>
      </c>
      <c r="F21" s="6" t="s">
        <v>27</v>
      </c>
      <c r="G21" s="6"/>
      <c r="H21" s="6"/>
      <c r="I21" s="6"/>
      <c r="J21" s="6"/>
    </row>
    <row r="22" ht="15.75" customHeight="1">
      <c r="B22" s="1">
        <v>500.0</v>
      </c>
      <c r="C22" s="5">
        <v>100.0</v>
      </c>
      <c r="D22" s="1">
        <v>16.0</v>
      </c>
      <c r="E22" s="1">
        <v>20.0</v>
      </c>
      <c r="F22" s="6">
        <f t="shared" ref="F22:F28" si="6">B22*D22+C22*E22</f>
        <v>10000</v>
      </c>
      <c r="G22" s="6"/>
      <c r="H22" s="6"/>
      <c r="I22" s="6"/>
      <c r="J22" s="6"/>
    </row>
    <row r="23" ht="15.75" customHeight="1">
      <c r="B23" s="1">
        <v>500.0</v>
      </c>
      <c r="C23" s="5">
        <v>100.0</v>
      </c>
      <c r="D23" s="1">
        <v>10.0</v>
      </c>
      <c r="E23" s="1">
        <v>40.0</v>
      </c>
      <c r="F23" s="6">
        <f t="shared" si="6"/>
        <v>9000</v>
      </c>
      <c r="G23" s="6"/>
      <c r="H23" s="6"/>
      <c r="I23" s="6"/>
      <c r="J23" s="6"/>
    </row>
    <row r="24" ht="15.75" customHeight="1">
      <c r="B24" s="1">
        <v>500.0</v>
      </c>
      <c r="C24" s="5">
        <v>100.0</v>
      </c>
      <c r="D24" s="1">
        <v>19.0</v>
      </c>
      <c r="E24" s="1">
        <v>10.0</v>
      </c>
      <c r="F24" s="6">
        <f t="shared" si="6"/>
        <v>10500</v>
      </c>
      <c r="G24" s="6"/>
      <c r="H24" s="6"/>
      <c r="I24" s="6"/>
      <c r="J24" s="6"/>
    </row>
    <row r="25" ht="15.75" customHeight="1">
      <c r="B25" s="1">
        <v>500.0</v>
      </c>
      <c r="C25" s="5">
        <v>100.0</v>
      </c>
      <c r="D25" s="1">
        <v>14.0</v>
      </c>
      <c r="E25" s="1">
        <v>35.0</v>
      </c>
      <c r="F25" s="6">
        <f t="shared" si="6"/>
        <v>10500</v>
      </c>
      <c r="G25" s="6"/>
      <c r="H25" s="6"/>
      <c r="I25" s="6"/>
      <c r="J25" s="6"/>
    </row>
    <row r="26" ht="15.75" customHeight="1">
      <c r="B26" s="1">
        <v>500.0</v>
      </c>
      <c r="C26" s="5">
        <v>100.0</v>
      </c>
      <c r="D26" s="1">
        <v>10.0</v>
      </c>
      <c r="E26" s="1">
        <v>10.0</v>
      </c>
      <c r="F26" s="6">
        <f t="shared" si="6"/>
        <v>6000</v>
      </c>
      <c r="G26" s="6"/>
      <c r="H26" s="6"/>
      <c r="I26" s="6"/>
      <c r="J26" s="6"/>
    </row>
    <row r="27" ht="15.75" customHeight="1">
      <c r="B27" s="1">
        <v>500.0</v>
      </c>
      <c r="C27" s="5">
        <v>100.0</v>
      </c>
      <c r="D27" s="1">
        <v>20.0</v>
      </c>
      <c r="E27" s="1">
        <v>0.0</v>
      </c>
      <c r="F27" s="6">
        <f t="shared" si="6"/>
        <v>10000</v>
      </c>
      <c r="G27" s="6"/>
      <c r="H27" s="6"/>
      <c r="I27" s="6"/>
      <c r="J27" s="6"/>
    </row>
    <row r="28" ht="15.75" customHeight="1">
      <c r="B28" s="1">
        <v>500.0</v>
      </c>
      <c r="C28" s="5">
        <v>100.0</v>
      </c>
      <c r="D28" s="1">
        <v>0.0</v>
      </c>
      <c r="E28" s="1">
        <v>100.0</v>
      </c>
      <c r="F28" s="6">
        <f t="shared" si="6"/>
        <v>10000</v>
      </c>
      <c r="G28" s="6"/>
      <c r="H28" s="6"/>
      <c r="I28" s="6"/>
      <c r="J28" s="6"/>
    </row>
    <row r="29" ht="15.75" customHeight="1"/>
    <row r="30" ht="15.75" customHeight="1">
      <c r="C30" s="1" t="s">
        <v>28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57"/>
    <col customWidth="1" min="4" max="26" width="8.71"/>
  </cols>
  <sheetData>
    <row r="5">
      <c r="A5" s="1" t="s">
        <v>68</v>
      </c>
    </row>
    <row r="6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</row>
    <row r="7">
      <c r="A7" s="1">
        <v>0.0</v>
      </c>
      <c r="B7" s="1">
        <v>0.0</v>
      </c>
      <c r="C7" s="1" t="str">
        <f t="shared" ref="C7:C11" si="1">(B7-B6)/(A7-A6)</f>
        <v>#VALUE!</v>
      </c>
      <c r="D7" s="1">
        <v>8.0</v>
      </c>
      <c r="E7" s="1" t="str">
        <f t="shared" ref="E7:E11" si="2">C7/D7</f>
        <v>#VALUE!</v>
      </c>
    </row>
    <row r="8">
      <c r="A8" s="1">
        <v>1.0</v>
      </c>
      <c r="B8" s="1">
        <v>100.0</v>
      </c>
      <c r="C8" s="1">
        <f t="shared" si="1"/>
        <v>100</v>
      </c>
      <c r="D8" s="1">
        <v>8.0</v>
      </c>
      <c r="E8" s="1">
        <f t="shared" si="2"/>
        <v>12.5</v>
      </c>
    </row>
    <row r="9">
      <c r="A9" s="1">
        <v>2.0</v>
      </c>
      <c r="B9" s="1">
        <v>190.0</v>
      </c>
      <c r="C9" s="1">
        <f t="shared" si="1"/>
        <v>90</v>
      </c>
      <c r="D9" s="1">
        <v>8.0</v>
      </c>
      <c r="E9" s="1">
        <f t="shared" si="2"/>
        <v>11.25</v>
      </c>
    </row>
    <row r="10">
      <c r="A10" s="1">
        <v>3.0</v>
      </c>
      <c r="B10" s="1">
        <v>270.0</v>
      </c>
      <c r="C10" s="1">
        <f t="shared" si="1"/>
        <v>80</v>
      </c>
      <c r="D10" s="1">
        <v>8.0</v>
      </c>
      <c r="E10" s="1">
        <f t="shared" si="2"/>
        <v>10</v>
      </c>
    </row>
    <row r="11">
      <c r="A11" s="1">
        <v>4.0</v>
      </c>
      <c r="B11" s="1">
        <v>330.0</v>
      </c>
      <c r="C11" s="1">
        <f t="shared" si="1"/>
        <v>60</v>
      </c>
      <c r="D11" s="1">
        <v>8.0</v>
      </c>
      <c r="E11" s="1">
        <f t="shared" si="2"/>
        <v>7.5</v>
      </c>
    </row>
    <row r="14">
      <c r="A14" s="1" t="s">
        <v>69</v>
      </c>
    </row>
    <row r="15">
      <c r="C15" s="1" t="s">
        <v>70</v>
      </c>
      <c r="J15" s="1" t="s">
        <v>71</v>
      </c>
    </row>
    <row r="16">
      <c r="A16" s="3" t="s">
        <v>11</v>
      </c>
      <c r="B16" s="3" t="s">
        <v>12</v>
      </c>
      <c r="C16" s="3" t="s">
        <v>13</v>
      </c>
      <c r="D16" s="3" t="s">
        <v>14</v>
      </c>
      <c r="E16" s="3" t="s">
        <v>15</v>
      </c>
      <c r="H16" s="3" t="s">
        <v>11</v>
      </c>
      <c r="I16" s="3" t="s">
        <v>12</v>
      </c>
      <c r="J16" s="3" t="s">
        <v>13</v>
      </c>
      <c r="K16" s="3" t="s">
        <v>14</v>
      </c>
      <c r="L16" s="3" t="s">
        <v>15</v>
      </c>
    </row>
    <row r="17">
      <c r="A17" s="1">
        <v>0.0</v>
      </c>
      <c r="B17" s="1">
        <v>0.0</v>
      </c>
      <c r="C17" s="1" t="str">
        <f t="shared" ref="C17:C20" si="3">(B17-B16)/(A17-A16)</f>
        <v>#VALUE!</v>
      </c>
      <c r="D17" s="1">
        <v>5.0</v>
      </c>
      <c r="E17" s="1" t="str">
        <f t="shared" ref="E17:E20" si="4">C17/D17</f>
        <v>#VALUE!</v>
      </c>
      <c r="H17" s="1">
        <v>0.0</v>
      </c>
      <c r="I17" s="1">
        <v>0.0</v>
      </c>
      <c r="J17" s="1" t="str">
        <f t="shared" ref="J17:J20" si="5">(I17-I16)/(H17-H16)</f>
        <v>#VALUE!</v>
      </c>
      <c r="K17" s="1">
        <v>8.0</v>
      </c>
      <c r="L17" s="1" t="str">
        <f t="shared" ref="L17:L20" si="6">J17/K17</f>
        <v>#VALUE!</v>
      </c>
    </row>
    <row r="18">
      <c r="A18" s="1">
        <v>1.0</v>
      </c>
      <c r="B18" s="1">
        <v>20.0</v>
      </c>
      <c r="C18" s="1">
        <f t="shared" si="3"/>
        <v>20</v>
      </c>
      <c r="D18" s="1">
        <v>5.0</v>
      </c>
      <c r="E18" s="1">
        <f t="shared" si="4"/>
        <v>4</v>
      </c>
      <c r="H18" s="1">
        <v>1.0</v>
      </c>
      <c r="I18" s="1">
        <v>50.0</v>
      </c>
      <c r="J18" s="1">
        <f t="shared" si="5"/>
        <v>50</v>
      </c>
      <c r="K18" s="1">
        <v>8.0</v>
      </c>
      <c r="L18" s="1">
        <f t="shared" si="6"/>
        <v>6.25</v>
      </c>
    </row>
    <row r="19">
      <c r="A19" s="1">
        <v>2.0</v>
      </c>
      <c r="B19" s="1">
        <v>37.0</v>
      </c>
      <c r="C19" s="1">
        <f t="shared" si="3"/>
        <v>17</v>
      </c>
      <c r="D19" s="1">
        <v>5.0</v>
      </c>
      <c r="E19" s="1">
        <f t="shared" si="4"/>
        <v>3.4</v>
      </c>
      <c r="H19" s="1">
        <v>2.0</v>
      </c>
      <c r="I19" s="1">
        <v>75.0</v>
      </c>
      <c r="J19" s="1">
        <f t="shared" si="5"/>
        <v>25</v>
      </c>
      <c r="K19" s="1">
        <v>8.0</v>
      </c>
      <c r="L19" s="1">
        <f t="shared" si="6"/>
        <v>3.125</v>
      </c>
    </row>
    <row r="20">
      <c r="A20" s="1">
        <v>3.0</v>
      </c>
      <c r="B20" s="1">
        <v>50.0</v>
      </c>
      <c r="C20" s="1">
        <f t="shared" si="3"/>
        <v>13</v>
      </c>
      <c r="D20" s="1">
        <v>5.0</v>
      </c>
      <c r="E20" s="1">
        <f t="shared" si="4"/>
        <v>2.6</v>
      </c>
      <c r="H20" s="1">
        <v>3.0</v>
      </c>
      <c r="I20" s="1">
        <v>90.0</v>
      </c>
      <c r="J20" s="1">
        <f t="shared" si="5"/>
        <v>15</v>
      </c>
      <c r="K20" s="1">
        <v>8.0</v>
      </c>
      <c r="L20" s="1">
        <f t="shared" si="6"/>
        <v>1.875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