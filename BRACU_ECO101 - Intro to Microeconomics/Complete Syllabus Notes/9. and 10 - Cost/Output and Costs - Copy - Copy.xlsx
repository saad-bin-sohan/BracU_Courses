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R Cost" sheetId="1" r:id="rId4"/>
    <sheet state="visible" name="Sheet1" sheetId="2" r:id="rId5"/>
    <sheet state="visible" name="Spring 21 and Summer 21 final" sheetId="3" r:id="rId6"/>
    <sheet state="visible" name="Q3 of Summer 21" sheetId="4" r:id="rId7"/>
    <sheet state="visible" name="Summer2020 quiz 3" sheetId="5" r:id="rId8"/>
    <sheet state="visible" name="Tutorial SR cost(TC,Q given)" sheetId="6" r:id="rId9"/>
  </sheets>
  <definedNames/>
  <calcPr/>
</workbook>
</file>

<file path=xl/sharedStrings.xml><?xml version="1.0" encoding="utf-8"?>
<sst xmlns="http://schemas.openxmlformats.org/spreadsheetml/2006/main" count="95" uniqueCount="40">
  <si>
    <t>Short Run Cost solve, page 259 of textbook</t>
  </si>
  <si>
    <t>Labour</t>
  </si>
  <si>
    <t>Output</t>
  </si>
  <si>
    <t>Total Fixed Cost</t>
  </si>
  <si>
    <t>Total Variable Cost</t>
  </si>
  <si>
    <t>Total Cost</t>
  </si>
  <si>
    <t>Marginal Cost</t>
  </si>
  <si>
    <t>Average Fixed Cost</t>
  </si>
  <si>
    <t>Average Variable Cost</t>
  </si>
  <si>
    <t>Average Total Cost</t>
  </si>
  <si>
    <t>I</t>
  </si>
  <si>
    <t>Q</t>
  </si>
  <si>
    <t>TFC</t>
  </si>
  <si>
    <t>TVC= from the condition, L abour* TFC</t>
  </si>
  <si>
    <t>TC=TFC+TVC</t>
  </si>
  <si>
    <t>MC= dTC/dQ</t>
  </si>
  <si>
    <t>AFC=TFC/Q</t>
  </si>
  <si>
    <t>AVC=TVC/Q</t>
  </si>
  <si>
    <t>ATC=AFC+AVC</t>
  </si>
  <si>
    <t>ATC=TC/Q</t>
  </si>
  <si>
    <t>Just Juice pays their workers TK.84 per day. The cost of the other variable input is 0.50 per cup of Yougurt</t>
  </si>
  <si>
    <t>Their fixed cost is 140 tk per day</t>
  </si>
  <si>
    <t>Labour(workers hire per week)</t>
  </si>
  <si>
    <t>Output(Cup Yougurt)</t>
  </si>
  <si>
    <t>TVC</t>
  </si>
  <si>
    <t>TC</t>
  </si>
  <si>
    <t>Avg Fixed cost</t>
  </si>
  <si>
    <t>Avg Variable Cost</t>
  </si>
  <si>
    <t>Avg Total Cost</t>
  </si>
  <si>
    <t>TVC= from the condition, (Wage*Labour)+(Output*per piece cost)</t>
  </si>
  <si>
    <t xml:space="preserve">Xiaomi Bangladesh factory sells accessories in Dhaka. They hire labour at the rate of tk. 4930.0 per worker and their fixed cost is equal to tk. 8047.0 per week. </t>
  </si>
  <si>
    <t>The table below is the product schedule of Tee-Print Ltd.</t>
  </si>
  <si>
    <t>Output(product per week)</t>
  </si>
  <si>
    <t>TVC= from the condition, Wage*Labour</t>
  </si>
  <si>
    <t>They hire labour at the rate of TK 53 per worker and their fixed cost is 285 per day</t>
  </si>
  <si>
    <t>Only Qty and TC given</t>
  </si>
  <si>
    <t>FC is the initial TC, as at initial the VC is 0</t>
  </si>
  <si>
    <t>Qty</t>
  </si>
  <si>
    <t>TFC( Initial total cost )</t>
  </si>
  <si>
    <t>TVC= TC-TFC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</si>
</sst>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  <scheme val="minor"/>
    </font>
    <font>
      <sz val="11.0"/>
      <color rgb="FF1E4E79"/>
      <name val="Calibri"/>
      <scheme val="minor"/>
    </font>
    <font>
      <b/>
      <sz val="11.0"/>
      <color rgb="FFFF0000"/>
      <name val="Calibri"/>
      <scheme val="minor"/>
    </font>
    <font>
      <b/>
      <sz val="11.0"/>
      <color rgb="FF1E4E79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0" numFmtId="0" xfId="0" applyBorder="1" applyFont="1"/>
    <xf borderId="1" fillId="2" fontId="0" numFmtId="0" xfId="0" applyBorder="1" applyFill="1" applyFont="1"/>
    <xf borderId="1" fillId="3" fontId="0" numFmtId="0" xfId="0" applyBorder="1" applyFill="1" applyFont="1"/>
    <xf borderId="1" fillId="0" fontId="2" numFmtId="0" xfId="0" applyBorder="1" applyFont="1"/>
    <xf borderId="1" fillId="2" fontId="2" numFmtId="0" xfId="0" applyBorder="1" applyFont="1"/>
    <xf borderId="1" fillId="3" fontId="2" numFmtId="0" xfId="0" applyBorder="1" applyFont="1"/>
    <xf borderId="2" fillId="3" fontId="0" numFmtId="0" xfId="0" applyBorder="1" applyFont="1"/>
    <xf borderId="3" fillId="3" fontId="0" numFmtId="0" xfId="0" applyBorder="1" applyFont="1"/>
    <xf borderId="4" fillId="2" fontId="0" numFmtId="0" xfId="0" applyBorder="1" applyFont="1"/>
    <xf borderId="5" fillId="0" fontId="0" numFmtId="0" xfId="0" applyBorder="1" applyFont="1"/>
    <xf borderId="2" fillId="2" fontId="0" numFmtId="0" xfId="0" applyBorder="1" applyFont="1"/>
    <xf borderId="0" fillId="0" fontId="0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0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962400" cy="54768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9525</xdr:rowOff>
    </xdr:from>
    <xdr:ext cx="5705475" cy="54864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86"/>
    <col customWidth="1" min="5" max="5" width="36.29"/>
    <col customWidth="1" min="6" max="6" width="13.0"/>
    <col customWidth="1" min="7" max="7" width="15.29"/>
    <col customWidth="1" min="8" max="8" width="18.0"/>
    <col customWidth="1" min="9" max="9" width="20.57"/>
    <col customWidth="1" min="10" max="10" width="16.71"/>
    <col customWidth="1" min="11" max="26" width="8.71"/>
  </cols>
  <sheetData>
    <row r="1">
      <c r="A1" s="1" t="s">
        <v>0</v>
      </c>
    </row>
    <row r="7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  <c r="K8" s="2" t="s">
        <v>19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>
        <v>0.0</v>
      </c>
      <c r="C9" s="1">
        <v>0.0</v>
      </c>
      <c r="D9" s="1">
        <v>25.0</v>
      </c>
      <c r="E9" s="1">
        <f t="shared" ref="E9:E14" si="1">B9*D9</f>
        <v>0</v>
      </c>
      <c r="F9" s="1">
        <f t="shared" ref="F9:F14" si="2">D9+E9</f>
        <v>25</v>
      </c>
      <c r="G9" s="1" t="str">
        <f t="shared" ref="G9:G14" si="3">(F9-F8)/(C9-C8)</f>
        <v>#VALUE!</v>
      </c>
      <c r="H9" s="1" t="str">
        <f t="shared" ref="H9:H14" si="4">D9/C9</f>
        <v>#DIV/0!</v>
      </c>
      <c r="I9" s="1" t="str">
        <f t="shared" ref="I9:I14" si="5">E9/C9</f>
        <v>#DIV/0!</v>
      </c>
      <c r="J9" s="1" t="str">
        <f t="shared" ref="J9:J14" si="6">H9+I9</f>
        <v>#DIV/0!</v>
      </c>
      <c r="K9" s="1" t="str">
        <f t="shared" ref="K9:K14" si="7">F9/C9</f>
        <v>#DIV/0!</v>
      </c>
    </row>
    <row r="10">
      <c r="B10" s="1">
        <v>1.0</v>
      </c>
      <c r="C10" s="1">
        <v>4.0</v>
      </c>
      <c r="D10" s="1">
        <v>25.0</v>
      </c>
      <c r="E10" s="1">
        <f t="shared" si="1"/>
        <v>25</v>
      </c>
      <c r="F10" s="1">
        <f t="shared" si="2"/>
        <v>50</v>
      </c>
      <c r="G10" s="1">
        <f t="shared" si="3"/>
        <v>6.25</v>
      </c>
      <c r="H10" s="1">
        <f t="shared" si="4"/>
        <v>6.25</v>
      </c>
      <c r="I10" s="1">
        <f t="shared" si="5"/>
        <v>6.25</v>
      </c>
      <c r="J10" s="1">
        <f t="shared" si="6"/>
        <v>12.5</v>
      </c>
      <c r="K10" s="1">
        <f t="shared" si="7"/>
        <v>12.5</v>
      </c>
    </row>
    <row r="11">
      <c r="B11" s="1">
        <v>2.0</v>
      </c>
      <c r="C11" s="1">
        <v>10.0</v>
      </c>
      <c r="D11" s="1">
        <v>25.0</v>
      </c>
      <c r="E11" s="1">
        <f t="shared" si="1"/>
        <v>50</v>
      </c>
      <c r="F11" s="1">
        <f t="shared" si="2"/>
        <v>75</v>
      </c>
      <c r="G11" s="1">
        <f t="shared" si="3"/>
        <v>4.166666667</v>
      </c>
      <c r="H11" s="1">
        <f t="shared" si="4"/>
        <v>2.5</v>
      </c>
      <c r="I11" s="1">
        <f t="shared" si="5"/>
        <v>5</v>
      </c>
      <c r="J11" s="1">
        <f t="shared" si="6"/>
        <v>7.5</v>
      </c>
      <c r="K11" s="1">
        <f t="shared" si="7"/>
        <v>7.5</v>
      </c>
    </row>
    <row r="12">
      <c r="B12" s="1">
        <v>3.0</v>
      </c>
      <c r="C12" s="1">
        <v>13.0</v>
      </c>
      <c r="D12" s="1">
        <v>25.0</v>
      </c>
      <c r="E12" s="1">
        <f t="shared" si="1"/>
        <v>75</v>
      </c>
      <c r="F12" s="1">
        <f t="shared" si="2"/>
        <v>100</v>
      </c>
      <c r="G12" s="1">
        <f t="shared" si="3"/>
        <v>8.333333333</v>
      </c>
      <c r="H12" s="1">
        <f t="shared" si="4"/>
        <v>1.923076923</v>
      </c>
      <c r="I12" s="1">
        <f t="shared" si="5"/>
        <v>5.769230769</v>
      </c>
      <c r="J12" s="1">
        <f t="shared" si="6"/>
        <v>7.692307692</v>
      </c>
      <c r="K12" s="1">
        <f t="shared" si="7"/>
        <v>7.692307692</v>
      </c>
    </row>
    <row r="13">
      <c r="B13" s="1">
        <v>4.0</v>
      </c>
      <c r="C13" s="1">
        <v>15.0</v>
      </c>
      <c r="D13" s="1">
        <v>25.0</v>
      </c>
      <c r="E13" s="1">
        <f t="shared" si="1"/>
        <v>100</v>
      </c>
      <c r="F13" s="1">
        <f t="shared" si="2"/>
        <v>125</v>
      </c>
      <c r="G13" s="1">
        <f t="shared" si="3"/>
        <v>12.5</v>
      </c>
      <c r="H13" s="1">
        <f t="shared" si="4"/>
        <v>1.666666667</v>
      </c>
      <c r="I13" s="1">
        <f t="shared" si="5"/>
        <v>6.666666667</v>
      </c>
      <c r="J13" s="1">
        <f t="shared" si="6"/>
        <v>8.333333333</v>
      </c>
      <c r="K13" s="1">
        <f t="shared" si="7"/>
        <v>8.333333333</v>
      </c>
    </row>
    <row r="14">
      <c r="B14" s="1">
        <v>5.0</v>
      </c>
      <c r="C14" s="1">
        <v>16.0</v>
      </c>
      <c r="D14" s="1">
        <v>25.0</v>
      </c>
      <c r="E14" s="1">
        <f t="shared" si="1"/>
        <v>125</v>
      </c>
      <c r="F14" s="1">
        <f t="shared" si="2"/>
        <v>150</v>
      </c>
      <c r="G14" s="1">
        <f t="shared" si="3"/>
        <v>25</v>
      </c>
      <c r="H14" s="1">
        <f t="shared" si="4"/>
        <v>1.5625</v>
      </c>
      <c r="I14" s="1">
        <f t="shared" si="5"/>
        <v>7.8125</v>
      </c>
      <c r="J14" s="1">
        <f t="shared" si="6"/>
        <v>9.375</v>
      </c>
      <c r="K14" s="1">
        <f t="shared" si="7"/>
        <v>9.375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.86"/>
    <col customWidth="1" min="4" max="4" width="19.0"/>
    <col customWidth="1" min="5" max="5" width="7.0"/>
    <col customWidth="1" min="6" max="6" width="59.29"/>
    <col customWidth="1" min="7" max="7" width="11.29"/>
    <col customWidth="1" min="8" max="8" width="12.57"/>
    <col customWidth="1" min="9" max="9" width="13.57"/>
    <col customWidth="1" min="10" max="10" width="15.86"/>
    <col customWidth="1" min="11" max="11" width="14.43"/>
    <col customWidth="1" min="12" max="12" width="12.0"/>
    <col customWidth="1" min="13" max="26" width="8.71"/>
  </cols>
  <sheetData>
    <row r="5">
      <c r="D5" s="1" t="s">
        <v>20</v>
      </c>
    </row>
    <row r="6">
      <c r="D6" s="1" t="s">
        <v>21</v>
      </c>
    </row>
    <row r="8">
      <c r="C8" s="3" t="s">
        <v>22</v>
      </c>
      <c r="D8" s="3" t="s">
        <v>23</v>
      </c>
      <c r="E8" s="4" t="s">
        <v>12</v>
      </c>
      <c r="F8" s="5" t="s">
        <v>24</v>
      </c>
      <c r="G8" s="5" t="s">
        <v>25</v>
      </c>
      <c r="H8" s="5" t="s">
        <v>6</v>
      </c>
      <c r="I8" s="5" t="s">
        <v>26</v>
      </c>
      <c r="J8" s="5" t="s">
        <v>27</v>
      </c>
      <c r="K8" s="5" t="s">
        <v>28</v>
      </c>
      <c r="L8" s="5"/>
    </row>
    <row r="9">
      <c r="C9" s="6" t="s">
        <v>10</v>
      </c>
      <c r="D9" s="6" t="s">
        <v>11</v>
      </c>
      <c r="E9" s="7" t="s">
        <v>12</v>
      </c>
      <c r="F9" s="8" t="s">
        <v>29</v>
      </c>
      <c r="G9" s="8" t="s">
        <v>14</v>
      </c>
      <c r="H9" s="8" t="s">
        <v>15</v>
      </c>
      <c r="I9" s="8" t="s">
        <v>16</v>
      </c>
      <c r="J9" s="8" t="s">
        <v>17</v>
      </c>
      <c r="K9" s="8" t="s">
        <v>18</v>
      </c>
      <c r="L9" s="8" t="s">
        <v>19</v>
      </c>
    </row>
    <row r="10">
      <c r="C10" s="3">
        <v>0.0</v>
      </c>
      <c r="D10" s="3">
        <v>0.0</v>
      </c>
      <c r="E10" s="4">
        <v>140.0</v>
      </c>
      <c r="F10" s="5">
        <f t="shared" ref="F10:F17" si="1">(C10*84)+(0.5*D10)</f>
        <v>0</v>
      </c>
      <c r="G10" s="5">
        <f t="shared" ref="G10:G17" si="2">E10+F10</f>
        <v>140</v>
      </c>
      <c r="H10" s="5"/>
      <c r="I10" s="5"/>
      <c r="J10" s="5"/>
      <c r="K10" s="5">
        <f t="shared" ref="K10:K17" si="3">I10+J10</f>
        <v>0</v>
      </c>
      <c r="L10" s="5"/>
    </row>
    <row r="11">
      <c r="C11" s="3">
        <v>1.0</v>
      </c>
      <c r="D11" s="3">
        <v>110.0</v>
      </c>
      <c r="E11" s="4">
        <v>140.0</v>
      </c>
      <c r="F11" s="5">
        <f t="shared" si="1"/>
        <v>139</v>
      </c>
      <c r="G11" s="5">
        <f t="shared" si="2"/>
        <v>279</v>
      </c>
      <c r="H11" s="5">
        <f t="shared" ref="H11:H17" si="4">(G11-G10)/(D11-D10)</f>
        <v>1.263636364</v>
      </c>
      <c r="I11" s="5">
        <f t="shared" ref="I11:I17" si="5">E11/D11</f>
        <v>1.272727273</v>
      </c>
      <c r="J11" s="5">
        <f t="shared" ref="J11:J17" si="6">F11/D11</f>
        <v>1.263636364</v>
      </c>
      <c r="K11" s="5">
        <f t="shared" si="3"/>
        <v>2.536363636</v>
      </c>
      <c r="L11" s="5">
        <f t="shared" ref="L11:L17" si="7">G11/D11</f>
        <v>2.536363636</v>
      </c>
    </row>
    <row r="12">
      <c r="C12" s="3">
        <v>2.0</v>
      </c>
      <c r="D12" s="3">
        <v>200.0</v>
      </c>
      <c r="E12" s="4">
        <v>140.0</v>
      </c>
      <c r="F12" s="5">
        <f t="shared" si="1"/>
        <v>268</v>
      </c>
      <c r="G12" s="5">
        <f t="shared" si="2"/>
        <v>408</v>
      </c>
      <c r="H12" s="5">
        <f t="shared" si="4"/>
        <v>1.433333333</v>
      </c>
      <c r="I12" s="5">
        <f t="shared" si="5"/>
        <v>0.7</v>
      </c>
      <c r="J12" s="5">
        <f t="shared" si="6"/>
        <v>1.34</v>
      </c>
      <c r="K12" s="5">
        <f t="shared" si="3"/>
        <v>2.04</v>
      </c>
      <c r="L12" s="5">
        <f t="shared" si="7"/>
        <v>2.04</v>
      </c>
    </row>
    <row r="13">
      <c r="C13" s="3">
        <v>3.0</v>
      </c>
      <c r="D13" s="3">
        <v>270.0</v>
      </c>
      <c r="E13" s="4">
        <v>140.0</v>
      </c>
      <c r="F13" s="5">
        <f t="shared" si="1"/>
        <v>387</v>
      </c>
      <c r="G13" s="5">
        <f t="shared" si="2"/>
        <v>527</v>
      </c>
      <c r="H13" s="5">
        <f t="shared" si="4"/>
        <v>1.7</v>
      </c>
      <c r="I13" s="5">
        <f t="shared" si="5"/>
        <v>0.5185185185</v>
      </c>
      <c r="J13" s="5">
        <f t="shared" si="6"/>
        <v>1.433333333</v>
      </c>
      <c r="K13" s="5">
        <f t="shared" si="3"/>
        <v>1.951851852</v>
      </c>
      <c r="L13" s="5">
        <f t="shared" si="7"/>
        <v>1.951851852</v>
      </c>
    </row>
    <row r="14">
      <c r="C14" s="3">
        <v>4.0</v>
      </c>
      <c r="D14" s="3">
        <v>300.0</v>
      </c>
      <c r="E14" s="4">
        <v>140.0</v>
      </c>
      <c r="F14" s="5">
        <f t="shared" si="1"/>
        <v>486</v>
      </c>
      <c r="G14" s="5">
        <f t="shared" si="2"/>
        <v>626</v>
      </c>
      <c r="H14" s="5">
        <f t="shared" si="4"/>
        <v>3.3</v>
      </c>
      <c r="I14" s="5">
        <f t="shared" si="5"/>
        <v>0.4666666667</v>
      </c>
      <c r="J14" s="5">
        <f t="shared" si="6"/>
        <v>1.62</v>
      </c>
      <c r="K14" s="5">
        <f t="shared" si="3"/>
        <v>2.086666667</v>
      </c>
      <c r="L14" s="5">
        <f t="shared" si="7"/>
        <v>2.086666667</v>
      </c>
    </row>
    <row r="15">
      <c r="C15" s="3">
        <v>5.0</v>
      </c>
      <c r="D15" s="3">
        <v>320.0</v>
      </c>
      <c r="E15" s="4">
        <v>140.0</v>
      </c>
      <c r="F15" s="5">
        <f t="shared" si="1"/>
        <v>580</v>
      </c>
      <c r="G15" s="5">
        <f t="shared" si="2"/>
        <v>720</v>
      </c>
      <c r="H15" s="5">
        <f t="shared" si="4"/>
        <v>4.7</v>
      </c>
      <c r="I15" s="5">
        <f t="shared" si="5"/>
        <v>0.4375</v>
      </c>
      <c r="J15" s="5">
        <f t="shared" si="6"/>
        <v>1.8125</v>
      </c>
      <c r="K15" s="5">
        <f t="shared" si="3"/>
        <v>2.25</v>
      </c>
      <c r="L15" s="5">
        <f t="shared" si="7"/>
        <v>2.25</v>
      </c>
    </row>
    <row r="16">
      <c r="C16" s="3">
        <v>6.0</v>
      </c>
      <c r="D16" s="3">
        <v>330.0</v>
      </c>
      <c r="E16" s="4">
        <v>140.0</v>
      </c>
      <c r="F16" s="5">
        <f t="shared" si="1"/>
        <v>669</v>
      </c>
      <c r="G16" s="5">
        <f t="shared" si="2"/>
        <v>809</v>
      </c>
      <c r="H16" s="5">
        <f t="shared" si="4"/>
        <v>8.9</v>
      </c>
      <c r="I16" s="9">
        <f t="shared" si="5"/>
        <v>0.4242424242</v>
      </c>
      <c r="J16" s="9">
        <f t="shared" si="6"/>
        <v>2.027272727</v>
      </c>
      <c r="K16" s="9">
        <f t="shared" si="3"/>
        <v>2.451515152</v>
      </c>
      <c r="L16" s="9">
        <f t="shared" si="7"/>
        <v>2.451515152</v>
      </c>
    </row>
    <row r="17">
      <c r="C17" s="3">
        <v>7.0</v>
      </c>
      <c r="D17" s="3">
        <v>230.0</v>
      </c>
      <c r="E17" s="4">
        <v>140.0</v>
      </c>
      <c r="F17" s="5">
        <f t="shared" si="1"/>
        <v>703</v>
      </c>
      <c r="G17" s="5">
        <f t="shared" si="2"/>
        <v>843</v>
      </c>
      <c r="H17" s="5">
        <f t="shared" si="4"/>
        <v>-0.34</v>
      </c>
      <c r="I17" s="5">
        <f t="shared" si="5"/>
        <v>0.6086956522</v>
      </c>
      <c r="J17" s="10">
        <f t="shared" si="6"/>
        <v>3.056521739</v>
      </c>
      <c r="K17" s="5">
        <f t="shared" si="3"/>
        <v>3.665217391</v>
      </c>
      <c r="L17" s="5">
        <f t="shared" si="7"/>
        <v>3.665217391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29"/>
    <col customWidth="1" min="3" max="3" width="24.43"/>
    <col customWidth="1" min="4" max="4" width="8.71"/>
    <col customWidth="1" min="5" max="5" width="35.43"/>
    <col customWidth="1" min="6" max="6" width="11.71"/>
    <col customWidth="1" min="7" max="7" width="14.14"/>
    <col customWidth="1" min="8" max="8" width="11.0"/>
    <col customWidth="1" min="9" max="9" width="13.29"/>
    <col customWidth="1" min="10" max="10" width="13.86"/>
    <col customWidth="1" min="11" max="11" width="11.43"/>
    <col customWidth="1" min="12" max="26" width="8.71"/>
  </cols>
  <sheetData>
    <row r="3">
      <c r="B3" s="11" t="s">
        <v>30</v>
      </c>
      <c r="C3" s="11"/>
      <c r="D3" s="11"/>
      <c r="E3" s="11"/>
      <c r="F3" s="11"/>
      <c r="G3" s="11"/>
      <c r="H3" s="11"/>
      <c r="I3" s="11"/>
    </row>
    <row r="4">
      <c r="B4" s="11" t="s">
        <v>31</v>
      </c>
      <c r="C4" s="11"/>
      <c r="D4" s="11"/>
      <c r="E4" s="11"/>
      <c r="F4" s="11"/>
      <c r="G4" s="11"/>
      <c r="H4" s="11"/>
      <c r="I4" s="11"/>
    </row>
    <row r="5">
      <c r="A5" s="11"/>
      <c r="J5" s="11"/>
      <c r="K5" s="11"/>
    </row>
    <row r="6">
      <c r="A6" s="11"/>
      <c r="J6" s="11"/>
      <c r="K6" s="11"/>
    </row>
    <row r="7">
      <c r="B7" s="3" t="s">
        <v>22</v>
      </c>
      <c r="C7" s="3" t="s">
        <v>32</v>
      </c>
      <c r="D7" s="4" t="s">
        <v>12</v>
      </c>
      <c r="E7" s="5" t="s">
        <v>24</v>
      </c>
      <c r="F7" s="5" t="s">
        <v>25</v>
      </c>
      <c r="G7" s="5" t="s">
        <v>6</v>
      </c>
      <c r="H7" s="5"/>
      <c r="I7" s="5"/>
      <c r="J7" s="5"/>
      <c r="K7" s="5"/>
    </row>
    <row r="8">
      <c r="B8" s="6" t="s">
        <v>10</v>
      </c>
      <c r="C8" s="6" t="s">
        <v>11</v>
      </c>
      <c r="D8" s="7" t="s">
        <v>12</v>
      </c>
      <c r="E8" s="8" t="s">
        <v>33</v>
      </c>
      <c r="F8" s="8" t="s">
        <v>14</v>
      </c>
      <c r="G8" s="8" t="s">
        <v>15</v>
      </c>
      <c r="H8" s="8" t="s">
        <v>16</v>
      </c>
      <c r="I8" s="8" t="s">
        <v>17</v>
      </c>
      <c r="J8" s="8" t="s">
        <v>18</v>
      </c>
      <c r="K8" s="8" t="s">
        <v>19</v>
      </c>
    </row>
    <row r="9">
      <c r="B9" s="3">
        <v>0.0</v>
      </c>
      <c r="C9" s="3">
        <v>0.0</v>
      </c>
      <c r="D9" s="4">
        <v>8047.0</v>
      </c>
      <c r="E9" s="5">
        <f t="shared" ref="E9:E16" si="1">(B9*4930)</f>
        <v>0</v>
      </c>
      <c r="F9" s="5">
        <f t="shared" ref="F9:F16" si="2">D9+E9</f>
        <v>8047</v>
      </c>
      <c r="G9" s="5"/>
      <c r="H9" s="5"/>
      <c r="I9" s="5"/>
      <c r="J9" s="5">
        <f t="shared" ref="J9:J16" si="3">H9+I9</f>
        <v>0</v>
      </c>
      <c r="K9" s="5"/>
    </row>
    <row r="10">
      <c r="B10" s="3">
        <v>1.0</v>
      </c>
      <c r="C10" s="3">
        <v>40.0</v>
      </c>
      <c r="D10" s="4">
        <v>8047.0</v>
      </c>
      <c r="E10" s="5">
        <f t="shared" si="1"/>
        <v>4930</v>
      </c>
      <c r="F10" s="5">
        <f t="shared" si="2"/>
        <v>12977</v>
      </c>
      <c r="G10" s="5">
        <f t="shared" ref="G10:G16" si="4">(F10-F9)/(C10-C9)</f>
        <v>123.25</v>
      </c>
      <c r="H10" s="5">
        <f t="shared" ref="H10:H16" si="5">D10/C10</f>
        <v>201.175</v>
      </c>
      <c r="I10" s="5">
        <f t="shared" ref="I10:I16" si="6">E10/C10</f>
        <v>123.25</v>
      </c>
      <c r="J10" s="5">
        <f t="shared" si="3"/>
        <v>324.425</v>
      </c>
      <c r="K10" s="5">
        <f t="shared" ref="K10:K16" si="7">F10/C10</f>
        <v>324.425</v>
      </c>
    </row>
    <row r="11">
      <c r="B11" s="3">
        <v>2.0</v>
      </c>
      <c r="C11" s="3">
        <v>80.0</v>
      </c>
      <c r="D11" s="4">
        <v>8047.0</v>
      </c>
      <c r="E11" s="5">
        <f t="shared" si="1"/>
        <v>9860</v>
      </c>
      <c r="F11" s="5">
        <f t="shared" si="2"/>
        <v>17907</v>
      </c>
      <c r="G11" s="5">
        <f t="shared" si="4"/>
        <v>123.25</v>
      </c>
      <c r="H11" s="5">
        <f t="shared" si="5"/>
        <v>100.5875</v>
      </c>
      <c r="I11" s="5">
        <f t="shared" si="6"/>
        <v>123.25</v>
      </c>
      <c r="J11" s="5">
        <f t="shared" si="3"/>
        <v>223.8375</v>
      </c>
      <c r="K11" s="5">
        <f t="shared" si="7"/>
        <v>223.8375</v>
      </c>
    </row>
    <row r="12">
      <c r="B12" s="3">
        <v>3.0</v>
      </c>
      <c r="C12" s="3">
        <v>130.0</v>
      </c>
      <c r="D12" s="4">
        <v>8047.0</v>
      </c>
      <c r="E12" s="5">
        <f t="shared" si="1"/>
        <v>14790</v>
      </c>
      <c r="F12" s="5">
        <f t="shared" si="2"/>
        <v>22837</v>
      </c>
      <c r="G12" s="5">
        <f t="shared" si="4"/>
        <v>98.6</v>
      </c>
      <c r="H12" s="5">
        <f t="shared" si="5"/>
        <v>61.9</v>
      </c>
      <c r="I12" s="5">
        <f t="shared" si="6"/>
        <v>113.7692308</v>
      </c>
      <c r="J12" s="5">
        <f t="shared" si="3"/>
        <v>175.6692308</v>
      </c>
      <c r="K12" s="5">
        <f t="shared" si="7"/>
        <v>175.6692308</v>
      </c>
    </row>
    <row r="13">
      <c r="B13" s="3">
        <v>4.0</v>
      </c>
      <c r="C13" s="3">
        <v>170.0</v>
      </c>
      <c r="D13" s="4">
        <v>8047.0</v>
      </c>
      <c r="E13" s="5">
        <f t="shared" si="1"/>
        <v>19720</v>
      </c>
      <c r="F13" s="5">
        <f t="shared" si="2"/>
        <v>27767</v>
      </c>
      <c r="G13" s="5">
        <f t="shared" si="4"/>
        <v>123.25</v>
      </c>
      <c r="H13" s="5">
        <f t="shared" si="5"/>
        <v>47.33529412</v>
      </c>
      <c r="I13" s="5">
        <f t="shared" si="6"/>
        <v>116</v>
      </c>
      <c r="J13" s="5">
        <f t="shared" si="3"/>
        <v>163.3352941</v>
      </c>
      <c r="K13" s="5">
        <f t="shared" si="7"/>
        <v>163.3352941</v>
      </c>
    </row>
    <row r="14">
      <c r="B14" s="3">
        <v>5.0</v>
      </c>
      <c r="C14" s="3">
        <v>200.0</v>
      </c>
      <c r="D14" s="4">
        <v>8047.0</v>
      </c>
      <c r="E14" s="5">
        <f t="shared" si="1"/>
        <v>24650</v>
      </c>
      <c r="F14" s="5">
        <f t="shared" si="2"/>
        <v>32697</v>
      </c>
      <c r="G14" s="5">
        <f t="shared" si="4"/>
        <v>164.3333333</v>
      </c>
      <c r="H14" s="5">
        <f t="shared" si="5"/>
        <v>40.235</v>
      </c>
      <c r="I14" s="5">
        <f t="shared" si="6"/>
        <v>123.25</v>
      </c>
      <c r="J14" s="5">
        <f t="shared" si="3"/>
        <v>163.485</v>
      </c>
      <c r="K14" s="5">
        <f t="shared" si="7"/>
        <v>163.485</v>
      </c>
    </row>
    <row r="15">
      <c r="B15" s="3">
        <v>6.0</v>
      </c>
      <c r="C15" s="3">
        <v>220.0</v>
      </c>
      <c r="D15" s="4">
        <v>8047.0</v>
      </c>
      <c r="E15" s="5">
        <f t="shared" si="1"/>
        <v>29580</v>
      </c>
      <c r="F15" s="5">
        <f t="shared" si="2"/>
        <v>37627</v>
      </c>
      <c r="G15" s="5">
        <f t="shared" si="4"/>
        <v>246.5</v>
      </c>
      <c r="H15" s="9">
        <f t="shared" si="5"/>
        <v>36.57727273</v>
      </c>
      <c r="I15" s="9">
        <f t="shared" si="6"/>
        <v>134.4545455</v>
      </c>
      <c r="J15" s="9">
        <f t="shared" si="3"/>
        <v>171.0318182</v>
      </c>
      <c r="K15" s="9">
        <f t="shared" si="7"/>
        <v>171.0318182</v>
      </c>
    </row>
    <row r="16">
      <c r="B16" s="3">
        <v>7.0</v>
      </c>
      <c r="C16" s="3">
        <v>230.0</v>
      </c>
      <c r="D16" s="4">
        <v>8047.0</v>
      </c>
      <c r="E16" s="5">
        <f t="shared" si="1"/>
        <v>34510</v>
      </c>
      <c r="F16" s="5">
        <f t="shared" si="2"/>
        <v>42557</v>
      </c>
      <c r="G16" s="5">
        <f t="shared" si="4"/>
        <v>493</v>
      </c>
      <c r="H16" s="5">
        <f t="shared" si="5"/>
        <v>34.98695652</v>
      </c>
      <c r="I16" s="10">
        <f t="shared" si="6"/>
        <v>150.0434783</v>
      </c>
      <c r="J16" s="5">
        <f t="shared" si="3"/>
        <v>185.0304348</v>
      </c>
      <c r="K16" s="5">
        <f t="shared" si="7"/>
        <v>185.0304348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36.29"/>
    <col customWidth="1" min="6" max="6" width="8.71"/>
    <col customWidth="1" min="7" max="7" width="13.0"/>
    <col customWidth="1" min="8" max="26" width="8.71"/>
  </cols>
  <sheetData>
    <row r="4">
      <c r="B4" s="11" t="s">
        <v>34</v>
      </c>
      <c r="C4" s="11"/>
      <c r="D4" s="11"/>
      <c r="E4" s="11"/>
      <c r="F4" s="11"/>
      <c r="G4" s="11"/>
      <c r="H4" s="11"/>
      <c r="I4" s="11"/>
      <c r="J4" s="11"/>
      <c r="K4" s="11"/>
    </row>
    <row r="5">
      <c r="B5" s="11"/>
      <c r="C5" s="11"/>
      <c r="D5" s="11"/>
      <c r="E5" s="11"/>
      <c r="F5" s="11"/>
      <c r="G5" s="11"/>
      <c r="H5" s="11"/>
      <c r="I5" s="11"/>
      <c r="J5" s="11"/>
      <c r="K5" s="11"/>
    </row>
    <row r="6">
      <c r="B6" s="3" t="s">
        <v>22</v>
      </c>
      <c r="C6" s="3" t="s">
        <v>32</v>
      </c>
      <c r="D6" s="4" t="s">
        <v>12</v>
      </c>
      <c r="E6" s="5" t="s">
        <v>24</v>
      </c>
      <c r="F6" s="5" t="s">
        <v>25</v>
      </c>
      <c r="G6" s="5" t="s">
        <v>6</v>
      </c>
      <c r="H6" s="5"/>
      <c r="I6" s="5"/>
      <c r="J6" s="5"/>
      <c r="K6" s="5"/>
    </row>
    <row r="7">
      <c r="B7" s="6" t="s">
        <v>10</v>
      </c>
      <c r="C7" s="6" t="s">
        <v>11</v>
      </c>
      <c r="D7" s="7" t="s">
        <v>12</v>
      </c>
      <c r="E7" s="8" t="s">
        <v>33</v>
      </c>
      <c r="F7" s="8" t="s">
        <v>14</v>
      </c>
      <c r="G7" s="8" t="s">
        <v>15</v>
      </c>
      <c r="H7" s="8" t="s">
        <v>16</v>
      </c>
      <c r="I7" s="8" t="s">
        <v>17</v>
      </c>
      <c r="J7" s="8" t="s">
        <v>18</v>
      </c>
      <c r="K7" s="8" t="s">
        <v>19</v>
      </c>
    </row>
    <row r="8">
      <c r="B8" s="3">
        <v>0.0</v>
      </c>
      <c r="C8" s="3">
        <v>0.0</v>
      </c>
      <c r="D8" s="4">
        <v>285.0</v>
      </c>
      <c r="E8" s="5">
        <f>(B8*4930)</f>
        <v>0</v>
      </c>
      <c r="F8" s="5">
        <f t="shared" ref="F8:F14" si="1">D8+E8</f>
        <v>285</v>
      </c>
      <c r="G8" s="5"/>
      <c r="H8" s="5"/>
      <c r="I8" s="5"/>
      <c r="J8" s="5"/>
      <c r="K8" s="5"/>
    </row>
    <row r="9">
      <c r="B9" s="3">
        <v>1.0</v>
      </c>
      <c r="C9" s="3">
        <v>110.0</v>
      </c>
      <c r="D9" s="4">
        <v>285.0</v>
      </c>
      <c r="E9" s="5">
        <f t="shared" ref="E9:E14" si="2">(B9*53)</f>
        <v>53</v>
      </c>
      <c r="F9" s="5">
        <f t="shared" si="1"/>
        <v>338</v>
      </c>
      <c r="G9" s="5">
        <f t="shared" ref="G9:G14" si="3">(F9-F8)/(C9-C8)</f>
        <v>0.4818181818</v>
      </c>
      <c r="H9" s="5">
        <f t="shared" ref="H9:H14" si="4">D9/C9</f>
        <v>2.590909091</v>
      </c>
      <c r="I9" s="5">
        <f t="shared" ref="I9:I14" si="5">E9/C9</f>
        <v>0.4818181818</v>
      </c>
      <c r="J9" s="5">
        <f t="shared" ref="J9:J14" si="6">H9+I9</f>
        <v>3.072727273</v>
      </c>
      <c r="K9" s="5">
        <f t="shared" ref="K9:K14" si="7">F9/C9</f>
        <v>3.072727273</v>
      </c>
    </row>
    <row r="10">
      <c r="B10" s="3">
        <v>2.0</v>
      </c>
      <c r="C10" s="3">
        <v>200.0</v>
      </c>
      <c r="D10" s="4">
        <v>285.0</v>
      </c>
      <c r="E10" s="5">
        <f t="shared" si="2"/>
        <v>106</v>
      </c>
      <c r="F10" s="5">
        <f t="shared" si="1"/>
        <v>391</v>
      </c>
      <c r="G10" s="5">
        <f t="shared" si="3"/>
        <v>0.5888888889</v>
      </c>
      <c r="H10" s="5">
        <f t="shared" si="4"/>
        <v>1.425</v>
      </c>
      <c r="I10" s="5">
        <f t="shared" si="5"/>
        <v>0.53</v>
      </c>
      <c r="J10" s="5">
        <f t="shared" si="6"/>
        <v>1.955</v>
      </c>
      <c r="K10" s="5">
        <f t="shared" si="7"/>
        <v>1.955</v>
      </c>
    </row>
    <row r="11">
      <c r="B11" s="3">
        <v>3.0</v>
      </c>
      <c r="C11" s="3">
        <v>270.0</v>
      </c>
      <c r="D11" s="4">
        <v>285.0</v>
      </c>
      <c r="E11" s="5">
        <f t="shared" si="2"/>
        <v>159</v>
      </c>
      <c r="F11" s="5">
        <f t="shared" si="1"/>
        <v>444</v>
      </c>
      <c r="G11" s="5">
        <f t="shared" si="3"/>
        <v>0.7571428571</v>
      </c>
      <c r="H11" s="5">
        <f t="shared" si="4"/>
        <v>1.055555556</v>
      </c>
      <c r="I11" s="5">
        <f t="shared" si="5"/>
        <v>0.5888888889</v>
      </c>
      <c r="J11" s="5">
        <f t="shared" si="6"/>
        <v>1.644444444</v>
      </c>
      <c r="K11" s="5">
        <f t="shared" si="7"/>
        <v>1.644444444</v>
      </c>
    </row>
    <row r="12">
      <c r="B12" s="3">
        <v>4.0</v>
      </c>
      <c r="C12" s="3">
        <v>300.0</v>
      </c>
      <c r="D12" s="4">
        <v>285.0</v>
      </c>
      <c r="E12" s="5">
        <f t="shared" si="2"/>
        <v>212</v>
      </c>
      <c r="F12" s="5">
        <f t="shared" si="1"/>
        <v>497</v>
      </c>
      <c r="G12" s="5">
        <f t="shared" si="3"/>
        <v>1.766666667</v>
      </c>
      <c r="H12" s="5">
        <f t="shared" si="4"/>
        <v>0.95</v>
      </c>
      <c r="I12" s="5">
        <f t="shared" si="5"/>
        <v>0.7066666667</v>
      </c>
      <c r="J12" s="5">
        <f t="shared" si="6"/>
        <v>1.656666667</v>
      </c>
      <c r="K12" s="5">
        <f t="shared" si="7"/>
        <v>1.656666667</v>
      </c>
    </row>
    <row r="13">
      <c r="B13" s="3">
        <v>5.0</v>
      </c>
      <c r="C13" s="3">
        <v>320.0</v>
      </c>
      <c r="D13" s="4">
        <v>285.0</v>
      </c>
      <c r="E13" s="5">
        <f t="shared" si="2"/>
        <v>265</v>
      </c>
      <c r="F13" s="5">
        <f t="shared" si="1"/>
        <v>550</v>
      </c>
      <c r="G13" s="5">
        <f t="shared" si="3"/>
        <v>2.65</v>
      </c>
      <c r="H13" s="5">
        <f t="shared" si="4"/>
        <v>0.890625</v>
      </c>
      <c r="I13" s="5">
        <f t="shared" si="5"/>
        <v>0.828125</v>
      </c>
      <c r="J13" s="5">
        <f t="shared" si="6"/>
        <v>1.71875</v>
      </c>
      <c r="K13" s="5">
        <f t="shared" si="7"/>
        <v>1.71875</v>
      </c>
    </row>
    <row r="14">
      <c r="B14" s="12">
        <v>6.0</v>
      </c>
      <c r="C14" s="12">
        <v>330.0</v>
      </c>
      <c r="D14" s="13">
        <v>285.0</v>
      </c>
      <c r="E14" s="9">
        <f t="shared" si="2"/>
        <v>318</v>
      </c>
      <c r="F14" s="9">
        <f t="shared" si="1"/>
        <v>603</v>
      </c>
      <c r="G14" s="9">
        <f t="shared" si="3"/>
        <v>5.3</v>
      </c>
      <c r="H14" s="9">
        <f t="shared" si="4"/>
        <v>0.8636363636</v>
      </c>
      <c r="I14" s="9">
        <f t="shared" si="5"/>
        <v>0.9636363636</v>
      </c>
      <c r="J14" s="9">
        <f t="shared" si="6"/>
        <v>1.827272727</v>
      </c>
      <c r="K14" s="9">
        <f t="shared" si="7"/>
        <v>1.827272727</v>
      </c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9.14"/>
    <col customWidth="1" min="4" max="4" width="23.0"/>
    <col customWidth="1" min="5" max="5" width="17.86"/>
    <col customWidth="1" min="6" max="6" width="11.57"/>
    <col customWidth="1" min="7" max="7" width="14.57"/>
    <col customWidth="1" min="8" max="8" width="19.14"/>
    <col customWidth="1" min="9" max="9" width="15.86"/>
    <col customWidth="1" min="10" max="10" width="14.86"/>
    <col customWidth="1" min="11" max="11" width="15.43"/>
    <col customWidth="1" min="12" max="26" width="8.71"/>
  </cols>
  <sheetData>
    <row r="1">
      <c r="C1" s="15"/>
      <c r="F1" s="15"/>
      <c r="G1" s="15"/>
      <c r="K1" s="15"/>
    </row>
    <row r="2">
      <c r="C2" s="15"/>
      <c r="F2" s="15"/>
      <c r="G2" s="15"/>
      <c r="K2" s="15"/>
    </row>
    <row r="3">
      <c r="C3" s="15"/>
      <c r="F3" s="15"/>
      <c r="G3" s="15"/>
      <c r="K3" s="15"/>
    </row>
    <row r="4">
      <c r="C4" s="15"/>
      <c r="D4" s="1" t="s">
        <v>35</v>
      </c>
      <c r="F4" s="15" t="s">
        <v>36</v>
      </c>
      <c r="G4" s="15"/>
      <c r="K4" s="15"/>
    </row>
    <row r="5">
      <c r="C5" s="15"/>
      <c r="F5" s="15"/>
      <c r="G5" s="15"/>
      <c r="K5" s="15"/>
    </row>
    <row r="6">
      <c r="C6" s="15"/>
      <c r="F6" s="15"/>
      <c r="G6" s="15"/>
      <c r="K6" s="15"/>
    </row>
    <row r="7">
      <c r="B7" s="2"/>
      <c r="C7" s="16" t="s">
        <v>37</v>
      </c>
      <c r="D7" s="2" t="s">
        <v>3</v>
      </c>
      <c r="E7" s="2" t="s">
        <v>4</v>
      </c>
      <c r="F7" s="16" t="s">
        <v>5</v>
      </c>
      <c r="G7" s="17" t="s">
        <v>6</v>
      </c>
      <c r="H7" s="2" t="s">
        <v>7</v>
      </c>
      <c r="I7" s="2" t="s">
        <v>8</v>
      </c>
      <c r="J7" s="2" t="s">
        <v>9</v>
      </c>
      <c r="K7" s="17"/>
    </row>
    <row r="8">
      <c r="B8" s="2"/>
      <c r="C8" s="16" t="s">
        <v>11</v>
      </c>
      <c r="D8" s="2" t="s">
        <v>38</v>
      </c>
      <c r="E8" s="2" t="s">
        <v>39</v>
      </c>
      <c r="F8" s="16" t="s">
        <v>25</v>
      </c>
      <c r="G8" s="17" t="s">
        <v>15</v>
      </c>
      <c r="H8" s="2" t="s">
        <v>16</v>
      </c>
      <c r="I8" s="2" t="s">
        <v>17</v>
      </c>
      <c r="J8" s="2" t="s">
        <v>18</v>
      </c>
      <c r="K8" s="17" t="s">
        <v>19</v>
      </c>
    </row>
    <row r="9">
      <c r="C9" s="15">
        <v>0.0</v>
      </c>
      <c r="D9" s="18">
        <v>500000.0</v>
      </c>
      <c r="E9" s="18">
        <f t="shared" ref="E9:E19" si="1">(F9-D9)</f>
        <v>0</v>
      </c>
      <c r="F9" s="15">
        <v>500000.0</v>
      </c>
      <c r="G9" s="15" t="str">
        <f t="shared" ref="G9:G19" si="2">(F9-F8)/(C9-C8)</f>
        <v>#VALUE!</v>
      </c>
      <c r="H9" s="1" t="str">
        <f t="shared" ref="H9:H19" si="3">D9/C9</f>
        <v>#DIV/0!</v>
      </c>
      <c r="I9" s="1" t="str">
        <f t="shared" ref="I9:I19" si="4">E9/C9</f>
        <v>#DIV/0!</v>
      </c>
      <c r="J9" s="1" t="str">
        <f t="shared" ref="J9:J19" si="5">H9+I9</f>
        <v>#DIV/0!</v>
      </c>
      <c r="K9" s="15" t="str">
        <f t="shared" ref="K9:K19" si="6">F9/C9</f>
        <v>#DIV/0!</v>
      </c>
    </row>
    <row r="10">
      <c r="C10" s="15">
        <v>1.0</v>
      </c>
      <c r="D10" s="1">
        <v>500000.0</v>
      </c>
      <c r="E10" s="18">
        <f t="shared" si="1"/>
        <v>40000</v>
      </c>
      <c r="F10" s="15">
        <v>540000.0</v>
      </c>
      <c r="G10" s="15">
        <f t="shared" si="2"/>
        <v>40000</v>
      </c>
      <c r="H10" s="1">
        <f t="shared" si="3"/>
        <v>500000</v>
      </c>
      <c r="I10" s="1">
        <f t="shared" si="4"/>
        <v>40000</v>
      </c>
      <c r="J10" s="1">
        <f t="shared" si="5"/>
        <v>540000</v>
      </c>
      <c r="K10" s="15">
        <f t="shared" si="6"/>
        <v>540000</v>
      </c>
    </row>
    <row r="11">
      <c r="C11" s="15">
        <v>2.0</v>
      </c>
      <c r="D11" s="1">
        <v>500000.0</v>
      </c>
      <c r="E11" s="18">
        <f t="shared" si="1"/>
        <v>60000</v>
      </c>
      <c r="F11" s="15">
        <v>560000.0</v>
      </c>
      <c r="G11" s="15">
        <f t="shared" si="2"/>
        <v>20000</v>
      </c>
      <c r="H11" s="1">
        <f t="shared" si="3"/>
        <v>250000</v>
      </c>
      <c r="I11" s="1">
        <f t="shared" si="4"/>
        <v>30000</v>
      </c>
      <c r="J11" s="1">
        <f t="shared" si="5"/>
        <v>280000</v>
      </c>
      <c r="K11" s="15">
        <f t="shared" si="6"/>
        <v>280000</v>
      </c>
    </row>
    <row r="12">
      <c r="C12" s="15">
        <v>3.0</v>
      </c>
      <c r="D12" s="1">
        <v>500000.0</v>
      </c>
      <c r="E12" s="18">
        <f t="shared" si="1"/>
        <v>70000</v>
      </c>
      <c r="F12" s="15">
        <v>570000.0</v>
      </c>
      <c r="G12" s="15">
        <f t="shared" si="2"/>
        <v>10000</v>
      </c>
      <c r="H12" s="1">
        <f t="shared" si="3"/>
        <v>166666.6667</v>
      </c>
      <c r="I12" s="1">
        <f t="shared" si="4"/>
        <v>23333.33333</v>
      </c>
      <c r="J12" s="1">
        <f t="shared" si="5"/>
        <v>190000</v>
      </c>
      <c r="K12" s="15">
        <f t="shared" si="6"/>
        <v>190000</v>
      </c>
    </row>
    <row r="13">
      <c r="C13" s="15">
        <v>4.0</v>
      </c>
      <c r="D13" s="1">
        <v>500000.0</v>
      </c>
      <c r="E13" s="18">
        <f t="shared" si="1"/>
        <v>90000</v>
      </c>
      <c r="F13" s="15">
        <v>590000.0</v>
      </c>
      <c r="G13" s="15">
        <f t="shared" si="2"/>
        <v>20000</v>
      </c>
      <c r="H13" s="1">
        <f t="shared" si="3"/>
        <v>125000</v>
      </c>
      <c r="I13" s="1">
        <f t="shared" si="4"/>
        <v>22500</v>
      </c>
      <c r="J13" s="1">
        <f t="shared" si="5"/>
        <v>147500</v>
      </c>
      <c r="K13" s="15">
        <f t="shared" si="6"/>
        <v>147500</v>
      </c>
    </row>
    <row r="14">
      <c r="C14" s="15">
        <v>5.0</v>
      </c>
      <c r="D14" s="1">
        <v>500000.0</v>
      </c>
      <c r="E14" s="18">
        <f t="shared" si="1"/>
        <v>120000</v>
      </c>
      <c r="F14" s="15">
        <v>620000.0</v>
      </c>
      <c r="G14" s="15">
        <f t="shared" si="2"/>
        <v>30000</v>
      </c>
      <c r="H14" s="1">
        <f t="shared" si="3"/>
        <v>100000</v>
      </c>
      <c r="I14" s="1">
        <f t="shared" si="4"/>
        <v>24000</v>
      </c>
      <c r="J14" s="1">
        <f t="shared" si="5"/>
        <v>124000</v>
      </c>
      <c r="K14" s="15">
        <f t="shared" si="6"/>
        <v>124000</v>
      </c>
    </row>
    <row r="15">
      <c r="C15" s="15">
        <v>6.0</v>
      </c>
      <c r="D15" s="1">
        <v>500000.0</v>
      </c>
      <c r="E15" s="18">
        <f t="shared" si="1"/>
        <v>160000</v>
      </c>
      <c r="F15" s="15">
        <v>660000.0</v>
      </c>
      <c r="G15" s="15">
        <f t="shared" si="2"/>
        <v>40000</v>
      </c>
      <c r="H15" s="1">
        <f t="shared" si="3"/>
        <v>83333.33333</v>
      </c>
      <c r="I15" s="1">
        <f t="shared" si="4"/>
        <v>26666.66667</v>
      </c>
      <c r="J15" s="1">
        <f t="shared" si="5"/>
        <v>110000</v>
      </c>
      <c r="K15" s="15">
        <f t="shared" si="6"/>
        <v>110000</v>
      </c>
    </row>
    <row r="16">
      <c r="C16" s="15">
        <v>7.0</v>
      </c>
      <c r="D16" s="1">
        <v>500000.0</v>
      </c>
      <c r="E16" s="18">
        <f t="shared" si="1"/>
        <v>220000</v>
      </c>
      <c r="F16" s="15">
        <v>720000.0</v>
      </c>
      <c r="G16" s="15">
        <f t="shared" si="2"/>
        <v>60000</v>
      </c>
      <c r="H16" s="1">
        <f t="shared" si="3"/>
        <v>71428.57143</v>
      </c>
      <c r="I16" s="1">
        <f t="shared" si="4"/>
        <v>31428.57143</v>
      </c>
      <c r="J16" s="1">
        <f t="shared" si="5"/>
        <v>102857.1429</v>
      </c>
      <c r="K16" s="15">
        <f t="shared" si="6"/>
        <v>102857.1429</v>
      </c>
    </row>
    <row r="17">
      <c r="C17" s="15">
        <v>8.0</v>
      </c>
      <c r="D17" s="1">
        <v>500000.0</v>
      </c>
      <c r="E17" s="18">
        <f t="shared" si="1"/>
        <v>300000</v>
      </c>
      <c r="F17" s="15">
        <v>800000.0</v>
      </c>
      <c r="G17" s="15">
        <f t="shared" si="2"/>
        <v>80000</v>
      </c>
      <c r="H17" s="1">
        <f t="shared" si="3"/>
        <v>62500</v>
      </c>
      <c r="I17" s="1">
        <f t="shared" si="4"/>
        <v>37500</v>
      </c>
      <c r="J17" s="1">
        <f t="shared" si="5"/>
        <v>100000</v>
      </c>
      <c r="K17" s="15">
        <f t="shared" si="6"/>
        <v>100000</v>
      </c>
    </row>
    <row r="18">
      <c r="C18" s="15">
        <v>9.0</v>
      </c>
      <c r="D18" s="1">
        <v>500000.0</v>
      </c>
      <c r="E18" s="18">
        <f t="shared" si="1"/>
        <v>420000</v>
      </c>
      <c r="F18" s="15">
        <v>920000.0</v>
      </c>
      <c r="G18" s="15">
        <f t="shared" si="2"/>
        <v>120000</v>
      </c>
      <c r="H18" s="1">
        <f t="shared" si="3"/>
        <v>55555.55556</v>
      </c>
      <c r="I18" s="1">
        <f t="shared" si="4"/>
        <v>46666.66667</v>
      </c>
      <c r="J18" s="1">
        <f t="shared" si="5"/>
        <v>102222.2222</v>
      </c>
      <c r="K18" s="15">
        <f t="shared" si="6"/>
        <v>102222.2222</v>
      </c>
    </row>
    <row r="19">
      <c r="C19" s="15">
        <v>10.0</v>
      </c>
      <c r="D19" s="1">
        <v>500000.0</v>
      </c>
      <c r="E19" s="18">
        <f t="shared" si="1"/>
        <v>600000</v>
      </c>
      <c r="F19" s="15">
        <v>1100000.0</v>
      </c>
      <c r="G19" s="15">
        <f t="shared" si="2"/>
        <v>180000</v>
      </c>
      <c r="H19" s="1">
        <f t="shared" si="3"/>
        <v>50000</v>
      </c>
      <c r="I19" s="1">
        <f t="shared" si="4"/>
        <v>60000</v>
      </c>
      <c r="J19" s="1">
        <f t="shared" si="5"/>
        <v>110000</v>
      </c>
      <c r="K19" s="15">
        <f t="shared" si="6"/>
        <v>110000</v>
      </c>
    </row>
    <row r="20">
      <c r="C20" s="15"/>
      <c r="F20" s="15"/>
      <c r="G20" s="15"/>
      <c r="K20" s="15"/>
    </row>
    <row r="21" ht="15.75" customHeight="1">
      <c r="C21" s="15"/>
      <c r="F21" s="15"/>
      <c r="G21" s="15"/>
      <c r="K21" s="15"/>
    </row>
    <row r="22" ht="15.75" customHeight="1">
      <c r="C22" s="15"/>
      <c r="F22" s="15"/>
      <c r="G22" s="15"/>
      <c r="K22" s="15"/>
    </row>
    <row r="23" ht="15.75" customHeight="1">
      <c r="C23" s="15"/>
      <c r="F23" s="15"/>
      <c r="G23" s="15"/>
      <c r="K23" s="15"/>
    </row>
    <row r="24" ht="15.75" customHeight="1">
      <c r="C24" s="15"/>
      <c r="F24" s="15"/>
      <c r="G24" s="15"/>
      <c r="K24" s="15"/>
    </row>
    <row r="25" ht="15.75" customHeight="1">
      <c r="C25" s="15"/>
      <c r="F25" s="15"/>
      <c r="G25" s="15"/>
      <c r="K25" s="15"/>
    </row>
    <row r="26" ht="15.75" customHeight="1">
      <c r="C26" s="15"/>
      <c r="F26" s="15"/>
      <c r="G26" s="15"/>
      <c r="K26" s="15"/>
    </row>
    <row r="27" ht="15.75" customHeight="1">
      <c r="C27" s="15"/>
      <c r="F27" s="15"/>
      <c r="G27" s="15"/>
      <c r="K27" s="15"/>
    </row>
    <row r="28" ht="15.75" customHeight="1">
      <c r="C28" s="15"/>
      <c r="F28" s="15"/>
      <c r="G28" s="15"/>
      <c r="K28" s="15"/>
    </row>
    <row r="29" ht="15.75" customHeight="1">
      <c r="C29" s="15"/>
      <c r="F29" s="15"/>
      <c r="G29" s="15"/>
      <c r="K29" s="15"/>
    </row>
    <row r="30" ht="15.75" customHeight="1">
      <c r="C30" s="15"/>
      <c r="F30" s="15"/>
      <c r="G30" s="15"/>
      <c r="K30" s="15"/>
    </row>
    <row r="31" ht="15.75" customHeight="1">
      <c r="C31" s="15"/>
      <c r="F31" s="15"/>
      <c r="G31" s="15"/>
      <c r="K31" s="15"/>
    </row>
    <row r="32" ht="15.75" customHeight="1">
      <c r="C32" s="15"/>
      <c r="F32" s="15"/>
      <c r="G32" s="15"/>
      <c r="K32" s="15"/>
    </row>
    <row r="33" ht="15.75" customHeight="1">
      <c r="C33" s="15"/>
      <c r="F33" s="15"/>
      <c r="G33" s="15"/>
      <c r="K33" s="15"/>
    </row>
    <row r="34" ht="15.75" customHeight="1">
      <c r="C34" s="15"/>
      <c r="F34" s="15"/>
      <c r="G34" s="15"/>
      <c r="K34" s="15"/>
    </row>
    <row r="35" ht="15.75" customHeight="1">
      <c r="C35" s="15"/>
      <c r="F35" s="15"/>
      <c r="G35" s="15"/>
      <c r="K35" s="15"/>
    </row>
    <row r="36" ht="15.75" customHeight="1">
      <c r="C36" s="15"/>
      <c r="F36" s="15"/>
      <c r="G36" s="15"/>
      <c r="K36" s="15"/>
    </row>
    <row r="37" ht="15.75" customHeight="1">
      <c r="C37" s="15"/>
      <c r="F37" s="15"/>
      <c r="G37" s="15"/>
      <c r="K37" s="15"/>
    </row>
    <row r="38" ht="15.75" customHeight="1">
      <c r="C38" s="15"/>
      <c r="F38" s="15"/>
      <c r="G38" s="15"/>
      <c r="K38" s="15"/>
    </row>
    <row r="39" ht="15.75" customHeight="1">
      <c r="C39" s="15"/>
      <c r="F39" s="15"/>
      <c r="G39" s="15"/>
      <c r="K39" s="15"/>
    </row>
    <row r="40" ht="15.75" customHeight="1">
      <c r="C40" s="15"/>
      <c r="F40" s="15"/>
      <c r="G40" s="15"/>
      <c r="K40" s="15"/>
    </row>
    <row r="41" ht="15.75" customHeight="1">
      <c r="C41" s="15"/>
      <c r="F41" s="15"/>
      <c r="G41" s="15"/>
      <c r="K41" s="15"/>
    </row>
    <row r="42" ht="15.75" customHeight="1">
      <c r="C42" s="15"/>
      <c r="F42" s="15"/>
      <c r="G42" s="15"/>
      <c r="K42" s="15"/>
    </row>
    <row r="43" ht="15.75" customHeight="1">
      <c r="C43" s="15"/>
      <c r="F43" s="15"/>
      <c r="G43" s="15"/>
      <c r="K43" s="15"/>
    </row>
    <row r="44" ht="15.75" customHeight="1">
      <c r="C44" s="15"/>
      <c r="F44" s="15"/>
      <c r="G44" s="15"/>
      <c r="K44" s="15"/>
    </row>
    <row r="45" ht="15.75" customHeight="1">
      <c r="C45" s="15"/>
      <c r="F45" s="15"/>
      <c r="G45" s="15"/>
      <c r="K45" s="15"/>
    </row>
    <row r="46" ht="15.75" customHeight="1">
      <c r="C46" s="15"/>
      <c r="F46" s="15"/>
      <c r="G46" s="15"/>
      <c r="K46" s="15"/>
    </row>
    <row r="47" ht="15.75" customHeight="1">
      <c r="C47" s="15"/>
      <c r="F47" s="15"/>
      <c r="G47" s="15"/>
      <c r="K47" s="15"/>
    </row>
    <row r="48" ht="15.75" customHeight="1">
      <c r="C48" s="15"/>
      <c r="F48" s="15"/>
      <c r="G48" s="15"/>
      <c r="K48" s="15"/>
    </row>
    <row r="49" ht="15.75" customHeight="1">
      <c r="C49" s="15"/>
      <c r="F49" s="15"/>
      <c r="G49" s="15"/>
      <c r="K49" s="15"/>
    </row>
    <row r="50" ht="15.75" customHeight="1">
      <c r="C50" s="15"/>
      <c r="F50" s="15"/>
      <c r="G50" s="15"/>
      <c r="K50" s="15"/>
    </row>
    <row r="51" ht="15.75" customHeight="1">
      <c r="C51" s="15"/>
      <c r="F51" s="15"/>
      <c r="G51" s="15"/>
      <c r="K51" s="15"/>
    </row>
    <row r="52" ht="15.75" customHeight="1">
      <c r="C52" s="15"/>
      <c r="F52" s="15"/>
      <c r="G52" s="15"/>
      <c r="K52" s="15"/>
    </row>
    <row r="53" ht="15.75" customHeight="1">
      <c r="C53" s="15"/>
      <c r="F53" s="15"/>
      <c r="G53" s="15"/>
      <c r="K53" s="15"/>
    </row>
    <row r="54" ht="15.75" customHeight="1">
      <c r="C54" s="15"/>
      <c r="F54" s="15"/>
      <c r="G54" s="15"/>
      <c r="K54" s="15"/>
    </row>
    <row r="55" ht="15.75" customHeight="1">
      <c r="C55" s="15"/>
      <c r="F55" s="15"/>
      <c r="G55" s="15"/>
      <c r="K55" s="15"/>
    </row>
    <row r="56" ht="15.75" customHeight="1">
      <c r="C56" s="15"/>
      <c r="F56" s="15"/>
      <c r="G56" s="15"/>
      <c r="K56" s="15"/>
    </row>
    <row r="57" ht="15.75" customHeight="1">
      <c r="C57" s="15"/>
      <c r="F57" s="15"/>
      <c r="G57" s="15"/>
      <c r="K57" s="15"/>
    </row>
    <row r="58" ht="15.75" customHeight="1">
      <c r="C58" s="15"/>
      <c r="F58" s="15"/>
      <c r="G58" s="15"/>
      <c r="K58" s="15"/>
    </row>
    <row r="59" ht="15.75" customHeight="1">
      <c r="C59" s="15"/>
      <c r="F59" s="15"/>
      <c r="G59" s="15"/>
      <c r="K59" s="15"/>
    </row>
    <row r="60" ht="15.75" customHeight="1">
      <c r="C60" s="15"/>
      <c r="F60" s="15"/>
      <c r="G60" s="15"/>
      <c r="K60" s="15"/>
    </row>
    <row r="61" ht="15.75" customHeight="1">
      <c r="C61" s="15"/>
      <c r="F61" s="15"/>
      <c r="G61" s="15"/>
      <c r="K61" s="15"/>
    </row>
    <row r="62" ht="15.75" customHeight="1">
      <c r="C62" s="15"/>
      <c r="F62" s="15"/>
      <c r="G62" s="15"/>
      <c r="K62" s="15"/>
    </row>
    <row r="63" ht="15.75" customHeight="1">
      <c r="C63" s="15"/>
      <c r="F63" s="15"/>
      <c r="G63" s="15"/>
      <c r="K63" s="15"/>
    </row>
    <row r="64" ht="15.75" customHeight="1">
      <c r="C64" s="15"/>
      <c r="F64" s="15"/>
      <c r="G64" s="15"/>
      <c r="K64" s="15"/>
    </row>
    <row r="65" ht="15.75" customHeight="1">
      <c r="C65" s="15"/>
      <c r="F65" s="15"/>
      <c r="G65" s="15"/>
      <c r="K65" s="15"/>
    </row>
    <row r="66" ht="15.75" customHeight="1">
      <c r="C66" s="15"/>
      <c r="F66" s="15"/>
      <c r="G66" s="15"/>
      <c r="K66" s="15"/>
    </row>
    <row r="67" ht="15.75" customHeight="1">
      <c r="C67" s="15"/>
      <c r="F67" s="15"/>
      <c r="G67" s="15"/>
      <c r="K67" s="15"/>
    </row>
    <row r="68" ht="15.75" customHeight="1">
      <c r="C68" s="15"/>
      <c r="F68" s="15"/>
      <c r="G68" s="15"/>
      <c r="K68" s="15"/>
    </row>
    <row r="69" ht="15.75" customHeight="1">
      <c r="C69" s="15"/>
      <c r="F69" s="15"/>
      <c r="G69" s="15"/>
      <c r="K69" s="15"/>
    </row>
    <row r="70" ht="15.75" customHeight="1">
      <c r="C70" s="15"/>
      <c r="F70" s="15"/>
      <c r="G70" s="15"/>
      <c r="K70" s="15"/>
    </row>
    <row r="71" ht="15.75" customHeight="1">
      <c r="C71" s="15"/>
      <c r="F71" s="15"/>
      <c r="G71" s="15"/>
      <c r="K71" s="15"/>
    </row>
    <row r="72" ht="15.75" customHeight="1">
      <c r="C72" s="15"/>
      <c r="F72" s="15"/>
      <c r="G72" s="15"/>
      <c r="K72" s="15"/>
    </row>
    <row r="73" ht="15.75" customHeight="1">
      <c r="C73" s="15"/>
      <c r="F73" s="15"/>
      <c r="G73" s="15"/>
      <c r="K73" s="15"/>
    </row>
    <row r="74" ht="15.75" customHeight="1">
      <c r="C74" s="15"/>
      <c r="F74" s="15"/>
      <c r="G74" s="15"/>
      <c r="K74" s="15"/>
    </row>
    <row r="75" ht="15.75" customHeight="1">
      <c r="C75" s="15"/>
      <c r="F75" s="15"/>
      <c r="G75" s="15"/>
      <c r="K75" s="15"/>
    </row>
    <row r="76" ht="15.75" customHeight="1">
      <c r="C76" s="15"/>
      <c r="F76" s="15"/>
      <c r="G76" s="15"/>
      <c r="K76" s="15"/>
    </row>
    <row r="77" ht="15.75" customHeight="1">
      <c r="C77" s="15"/>
      <c r="F77" s="15"/>
      <c r="G77" s="15"/>
      <c r="K77" s="15"/>
    </row>
    <row r="78" ht="15.75" customHeight="1">
      <c r="C78" s="15"/>
      <c r="F78" s="15"/>
      <c r="G78" s="15"/>
      <c r="K78" s="15"/>
    </row>
    <row r="79" ht="15.75" customHeight="1">
      <c r="C79" s="15"/>
      <c r="F79" s="15"/>
      <c r="G79" s="15"/>
      <c r="K79" s="15"/>
    </row>
    <row r="80" ht="15.75" customHeight="1">
      <c r="C80" s="15"/>
      <c r="F80" s="15"/>
      <c r="G80" s="15"/>
      <c r="K80" s="15"/>
    </row>
    <row r="81" ht="15.75" customHeight="1">
      <c r="C81" s="15"/>
      <c r="F81" s="15"/>
      <c r="G81" s="15"/>
      <c r="K81" s="15"/>
    </row>
    <row r="82" ht="15.75" customHeight="1">
      <c r="C82" s="15"/>
      <c r="F82" s="15"/>
      <c r="G82" s="15"/>
      <c r="K82" s="15"/>
    </row>
    <row r="83" ht="15.75" customHeight="1">
      <c r="C83" s="15"/>
      <c r="F83" s="15"/>
      <c r="G83" s="15"/>
      <c r="K83" s="15"/>
    </row>
    <row r="84" ht="15.75" customHeight="1">
      <c r="C84" s="15"/>
      <c r="F84" s="15"/>
      <c r="G84" s="15"/>
      <c r="K84" s="15"/>
    </row>
    <row r="85" ht="15.75" customHeight="1">
      <c r="C85" s="15"/>
      <c r="F85" s="15"/>
      <c r="G85" s="15"/>
      <c r="K85" s="15"/>
    </row>
    <row r="86" ht="15.75" customHeight="1">
      <c r="C86" s="15"/>
      <c r="F86" s="15"/>
      <c r="G86" s="15"/>
      <c r="K86" s="15"/>
    </row>
    <row r="87" ht="15.75" customHeight="1">
      <c r="C87" s="15"/>
      <c r="F87" s="15"/>
      <c r="G87" s="15"/>
      <c r="K87" s="15"/>
    </row>
    <row r="88" ht="15.75" customHeight="1">
      <c r="C88" s="15"/>
      <c r="F88" s="15"/>
      <c r="G88" s="15"/>
      <c r="K88" s="15"/>
    </row>
    <row r="89" ht="15.75" customHeight="1">
      <c r="C89" s="15"/>
      <c r="F89" s="15"/>
      <c r="G89" s="15"/>
      <c r="K89" s="15"/>
    </row>
    <row r="90" ht="15.75" customHeight="1">
      <c r="C90" s="15"/>
      <c r="F90" s="15"/>
      <c r="G90" s="15"/>
      <c r="K90" s="15"/>
    </row>
    <row r="91" ht="15.75" customHeight="1">
      <c r="C91" s="15"/>
      <c r="F91" s="15"/>
      <c r="G91" s="15"/>
      <c r="K91" s="15"/>
    </row>
    <row r="92" ht="15.75" customHeight="1">
      <c r="C92" s="15"/>
      <c r="F92" s="15"/>
      <c r="G92" s="15"/>
      <c r="K92" s="15"/>
    </row>
    <row r="93" ht="15.75" customHeight="1">
      <c r="C93" s="15"/>
      <c r="F93" s="15"/>
      <c r="G93" s="15"/>
      <c r="K93" s="15"/>
    </row>
    <row r="94" ht="15.75" customHeight="1">
      <c r="C94" s="15"/>
      <c r="F94" s="15"/>
      <c r="G94" s="15"/>
      <c r="K94" s="15"/>
    </row>
    <row r="95" ht="15.75" customHeight="1">
      <c r="C95" s="15"/>
      <c r="F95" s="15"/>
      <c r="G95" s="15"/>
      <c r="K95" s="15"/>
    </row>
    <row r="96" ht="15.75" customHeight="1">
      <c r="C96" s="15"/>
      <c r="F96" s="15"/>
      <c r="G96" s="15"/>
      <c r="K96" s="15"/>
    </row>
    <row r="97" ht="15.75" customHeight="1">
      <c r="C97" s="15"/>
      <c r="F97" s="15"/>
      <c r="G97" s="15"/>
      <c r="K97" s="15"/>
    </row>
    <row r="98" ht="15.75" customHeight="1">
      <c r="C98" s="15"/>
      <c r="F98" s="15"/>
      <c r="G98" s="15"/>
      <c r="K98" s="15"/>
    </row>
    <row r="99" ht="15.75" customHeight="1">
      <c r="C99" s="15"/>
      <c r="F99" s="15"/>
      <c r="G99" s="15"/>
      <c r="K99" s="15"/>
    </row>
    <row r="100" ht="15.75" customHeight="1">
      <c r="C100" s="15"/>
      <c r="F100" s="15"/>
      <c r="G100" s="15"/>
      <c r="K100" s="15"/>
    </row>
    <row r="101" ht="15.75" customHeight="1">
      <c r="C101" s="15"/>
      <c r="F101" s="15"/>
      <c r="G101" s="15"/>
      <c r="K101" s="15"/>
    </row>
    <row r="102" ht="15.75" customHeight="1">
      <c r="C102" s="15"/>
      <c r="F102" s="15"/>
      <c r="G102" s="15"/>
      <c r="K102" s="15"/>
    </row>
    <row r="103" ht="15.75" customHeight="1">
      <c r="C103" s="15"/>
      <c r="F103" s="15"/>
      <c r="G103" s="15"/>
      <c r="K103" s="15"/>
    </row>
    <row r="104" ht="15.75" customHeight="1">
      <c r="C104" s="15"/>
      <c r="F104" s="15"/>
      <c r="G104" s="15"/>
      <c r="K104" s="15"/>
    </row>
    <row r="105" ht="15.75" customHeight="1">
      <c r="C105" s="15"/>
      <c r="F105" s="15"/>
      <c r="G105" s="15"/>
      <c r="K105" s="15"/>
    </row>
    <row r="106" ht="15.75" customHeight="1">
      <c r="C106" s="15"/>
      <c r="F106" s="15"/>
      <c r="G106" s="15"/>
      <c r="K106" s="15"/>
    </row>
    <row r="107" ht="15.75" customHeight="1">
      <c r="C107" s="15"/>
      <c r="F107" s="15"/>
      <c r="G107" s="15"/>
      <c r="K107" s="15"/>
    </row>
    <row r="108" ht="15.75" customHeight="1">
      <c r="C108" s="15"/>
      <c r="F108" s="15"/>
      <c r="G108" s="15"/>
      <c r="K108" s="15"/>
    </row>
    <row r="109" ht="15.75" customHeight="1">
      <c r="C109" s="15"/>
      <c r="F109" s="15"/>
      <c r="G109" s="15"/>
      <c r="K109" s="15"/>
    </row>
    <row r="110" ht="15.75" customHeight="1">
      <c r="C110" s="15"/>
      <c r="F110" s="15"/>
      <c r="G110" s="15"/>
      <c r="K110" s="15"/>
    </row>
    <row r="111" ht="15.75" customHeight="1">
      <c r="C111" s="15"/>
      <c r="F111" s="15"/>
      <c r="G111" s="15"/>
      <c r="K111" s="15"/>
    </row>
    <row r="112" ht="15.75" customHeight="1">
      <c r="C112" s="15"/>
      <c r="F112" s="15"/>
      <c r="G112" s="15"/>
      <c r="K112" s="15"/>
    </row>
    <row r="113" ht="15.75" customHeight="1">
      <c r="C113" s="15"/>
      <c r="F113" s="15"/>
      <c r="G113" s="15"/>
      <c r="K113" s="15"/>
    </row>
    <row r="114" ht="15.75" customHeight="1">
      <c r="C114" s="15"/>
      <c r="F114" s="15"/>
      <c r="G114" s="15"/>
      <c r="K114" s="15"/>
    </row>
    <row r="115" ht="15.75" customHeight="1">
      <c r="C115" s="15"/>
      <c r="F115" s="15"/>
      <c r="G115" s="15"/>
      <c r="K115" s="15"/>
    </row>
    <row r="116" ht="15.75" customHeight="1">
      <c r="C116" s="15"/>
      <c r="F116" s="15"/>
      <c r="G116" s="15"/>
      <c r="K116" s="15"/>
    </row>
    <row r="117" ht="15.75" customHeight="1">
      <c r="C117" s="15"/>
      <c r="F117" s="15"/>
      <c r="G117" s="15"/>
      <c r="K117" s="15"/>
    </row>
    <row r="118" ht="15.75" customHeight="1">
      <c r="C118" s="15"/>
      <c r="F118" s="15"/>
      <c r="G118" s="15"/>
      <c r="K118" s="15"/>
    </row>
    <row r="119" ht="15.75" customHeight="1">
      <c r="C119" s="15"/>
      <c r="F119" s="15"/>
      <c r="G119" s="15"/>
      <c r="K119" s="15"/>
    </row>
    <row r="120" ht="15.75" customHeight="1">
      <c r="C120" s="15"/>
      <c r="F120" s="15"/>
      <c r="G120" s="15"/>
      <c r="K120" s="15"/>
    </row>
    <row r="121" ht="15.75" customHeight="1">
      <c r="C121" s="15"/>
      <c r="F121" s="15"/>
      <c r="G121" s="15"/>
      <c r="K121" s="15"/>
    </row>
    <row r="122" ht="15.75" customHeight="1">
      <c r="C122" s="15"/>
      <c r="F122" s="15"/>
      <c r="G122" s="15"/>
      <c r="K122" s="15"/>
    </row>
    <row r="123" ht="15.75" customHeight="1">
      <c r="C123" s="15"/>
      <c r="F123" s="15"/>
      <c r="G123" s="15"/>
      <c r="K123" s="15"/>
    </row>
    <row r="124" ht="15.75" customHeight="1">
      <c r="C124" s="15"/>
      <c r="F124" s="15"/>
      <c r="G124" s="15"/>
      <c r="K124" s="15"/>
    </row>
    <row r="125" ht="15.75" customHeight="1">
      <c r="C125" s="15"/>
      <c r="F125" s="15"/>
      <c r="G125" s="15"/>
      <c r="K125" s="15"/>
    </row>
    <row r="126" ht="15.75" customHeight="1">
      <c r="C126" s="15"/>
      <c r="F126" s="15"/>
      <c r="G126" s="15"/>
      <c r="K126" s="15"/>
    </row>
    <row r="127" ht="15.75" customHeight="1">
      <c r="C127" s="15"/>
      <c r="F127" s="15"/>
      <c r="G127" s="15"/>
      <c r="K127" s="15"/>
    </row>
    <row r="128" ht="15.75" customHeight="1">
      <c r="C128" s="15"/>
      <c r="F128" s="15"/>
      <c r="G128" s="15"/>
      <c r="K128" s="15"/>
    </row>
    <row r="129" ht="15.75" customHeight="1">
      <c r="C129" s="15"/>
      <c r="F129" s="15"/>
      <c r="G129" s="15"/>
      <c r="K129" s="15"/>
    </row>
    <row r="130" ht="15.75" customHeight="1">
      <c r="C130" s="15"/>
      <c r="F130" s="15"/>
      <c r="G130" s="15"/>
      <c r="K130" s="15"/>
    </row>
    <row r="131" ht="15.75" customHeight="1">
      <c r="C131" s="15"/>
      <c r="F131" s="15"/>
      <c r="G131" s="15"/>
      <c r="K131" s="15"/>
    </row>
    <row r="132" ht="15.75" customHeight="1">
      <c r="C132" s="15"/>
      <c r="F132" s="15"/>
      <c r="G132" s="15"/>
      <c r="K132" s="15"/>
    </row>
    <row r="133" ht="15.75" customHeight="1">
      <c r="C133" s="15"/>
      <c r="F133" s="15"/>
      <c r="G133" s="15"/>
      <c r="K133" s="15"/>
    </row>
    <row r="134" ht="15.75" customHeight="1">
      <c r="C134" s="15"/>
      <c r="F134" s="15"/>
      <c r="G134" s="15"/>
      <c r="K134" s="15"/>
    </row>
    <row r="135" ht="15.75" customHeight="1">
      <c r="C135" s="15"/>
      <c r="F135" s="15"/>
      <c r="G135" s="15"/>
      <c r="K135" s="15"/>
    </row>
    <row r="136" ht="15.75" customHeight="1">
      <c r="C136" s="15"/>
      <c r="F136" s="15"/>
      <c r="G136" s="15"/>
      <c r="K136" s="15"/>
    </row>
    <row r="137" ht="15.75" customHeight="1">
      <c r="C137" s="15"/>
      <c r="F137" s="15"/>
      <c r="G137" s="15"/>
      <c r="K137" s="15"/>
    </row>
    <row r="138" ht="15.75" customHeight="1">
      <c r="C138" s="15"/>
      <c r="F138" s="15"/>
      <c r="G138" s="15"/>
      <c r="K138" s="15"/>
    </row>
    <row r="139" ht="15.75" customHeight="1">
      <c r="C139" s="15"/>
      <c r="F139" s="15"/>
      <c r="G139" s="15"/>
      <c r="K139" s="15"/>
    </row>
    <row r="140" ht="15.75" customHeight="1">
      <c r="C140" s="15"/>
      <c r="F140" s="15"/>
      <c r="G140" s="15"/>
      <c r="K140" s="15"/>
    </row>
    <row r="141" ht="15.75" customHeight="1">
      <c r="C141" s="15"/>
      <c r="F141" s="15"/>
      <c r="G141" s="15"/>
      <c r="K141" s="15"/>
    </row>
    <row r="142" ht="15.75" customHeight="1">
      <c r="C142" s="15"/>
      <c r="F142" s="15"/>
      <c r="G142" s="15"/>
      <c r="K142" s="15"/>
    </row>
    <row r="143" ht="15.75" customHeight="1">
      <c r="C143" s="15"/>
      <c r="F143" s="15"/>
      <c r="G143" s="15"/>
      <c r="K143" s="15"/>
    </row>
    <row r="144" ht="15.75" customHeight="1">
      <c r="C144" s="15"/>
      <c r="F144" s="15"/>
      <c r="G144" s="15"/>
      <c r="K144" s="15"/>
    </row>
    <row r="145" ht="15.75" customHeight="1">
      <c r="C145" s="15"/>
      <c r="F145" s="15"/>
      <c r="G145" s="15"/>
      <c r="K145" s="15"/>
    </row>
    <row r="146" ht="15.75" customHeight="1">
      <c r="C146" s="15"/>
      <c r="F146" s="15"/>
      <c r="G146" s="15"/>
      <c r="K146" s="15"/>
    </row>
    <row r="147" ht="15.75" customHeight="1">
      <c r="C147" s="15"/>
      <c r="F147" s="15"/>
      <c r="G147" s="15"/>
      <c r="K147" s="15"/>
    </row>
    <row r="148" ht="15.75" customHeight="1">
      <c r="C148" s="15"/>
      <c r="F148" s="15"/>
      <c r="G148" s="15"/>
      <c r="K148" s="15"/>
    </row>
    <row r="149" ht="15.75" customHeight="1">
      <c r="C149" s="15"/>
      <c r="F149" s="15"/>
      <c r="G149" s="15"/>
      <c r="K149" s="15"/>
    </row>
    <row r="150" ht="15.75" customHeight="1">
      <c r="C150" s="15"/>
      <c r="F150" s="15"/>
      <c r="G150" s="15"/>
      <c r="K150" s="15"/>
    </row>
    <row r="151" ht="15.75" customHeight="1">
      <c r="C151" s="15"/>
      <c r="F151" s="15"/>
      <c r="G151" s="15"/>
      <c r="K151" s="15"/>
    </row>
    <row r="152" ht="15.75" customHeight="1">
      <c r="C152" s="15"/>
      <c r="F152" s="15"/>
      <c r="G152" s="15"/>
      <c r="K152" s="15"/>
    </row>
    <row r="153" ht="15.75" customHeight="1">
      <c r="C153" s="15"/>
      <c r="F153" s="15"/>
      <c r="G153" s="15"/>
      <c r="K153" s="15"/>
    </row>
    <row r="154" ht="15.75" customHeight="1">
      <c r="C154" s="15"/>
      <c r="F154" s="15"/>
      <c r="G154" s="15"/>
      <c r="K154" s="15"/>
    </row>
    <row r="155" ht="15.75" customHeight="1">
      <c r="C155" s="15"/>
      <c r="F155" s="15"/>
      <c r="G155" s="15"/>
      <c r="K155" s="15"/>
    </row>
    <row r="156" ht="15.75" customHeight="1">
      <c r="C156" s="15"/>
      <c r="F156" s="15"/>
      <c r="G156" s="15"/>
      <c r="K156" s="15"/>
    </row>
    <row r="157" ht="15.75" customHeight="1">
      <c r="C157" s="15"/>
      <c r="F157" s="15"/>
      <c r="G157" s="15"/>
      <c r="K157" s="15"/>
    </row>
    <row r="158" ht="15.75" customHeight="1">
      <c r="C158" s="15"/>
      <c r="F158" s="15"/>
      <c r="G158" s="15"/>
      <c r="K158" s="15"/>
    </row>
    <row r="159" ht="15.75" customHeight="1">
      <c r="C159" s="15"/>
      <c r="F159" s="15"/>
      <c r="G159" s="15"/>
      <c r="K159" s="15"/>
    </row>
    <row r="160" ht="15.75" customHeight="1">
      <c r="C160" s="15"/>
      <c r="F160" s="15"/>
      <c r="G160" s="15"/>
      <c r="K160" s="15"/>
    </row>
    <row r="161" ht="15.75" customHeight="1">
      <c r="C161" s="15"/>
      <c r="F161" s="15"/>
      <c r="G161" s="15"/>
      <c r="K161" s="15"/>
    </row>
    <row r="162" ht="15.75" customHeight="1">
      <c r="C162" s="15"/>
      <c r="F162" s="15"/>
      <c r="G162" s="15"/>
      <c r="K162" s="15"/>
    </row>
    <row r="163" ht="15.75" customHeight="1">
      <c r="C163" s="15"/>
      <c r="F163" s="15"/>
      <c r="G163" s="15"/>
      <c r="K163" s="15"/>
    </row>
    <row r="164" ht="15.75" customHeight="1">
      <c r="C164" s="15"/>
      <c r="F164" s="15"/>
      <c r="G164" s="15"/>
      <c r="K164" s="15"/>
    </row>
    <row r="165" ht="15.75" customHeight="1">
      <c r="C165" s="15"/>
      <c r="F165" s="15"/>
      <c r="G165" s="15"/>
      <c r="K165" s="15"/>
    </row>
    <row r="166" ht="15.75" customHeight="1">
      <c r="C166" s="15"/>
      <c r="F166" s="15"/>
      <c r="G166" s="15"/>
      <c r="K166" s="15"/>
    </row>
    <row r="167" ht="15.75" customHeight="1">
      <c r="C167" s="15"/>
      <c r="F167" s="15"/>
      <c r="G167" s="15"/>
      <c r="K167" s="15"/>
    </row>
    <row r="168" ht="15.75" customHeight="1">
      <c r="C168" s="15"/>
      <c r="F168" s="15"/>
      <c r="G168" s="15"/>
      <c r="K168" s="15"/>
    </row>
    <row r="169" ht="15.75" customHeight="1">
      <c r="C169" s="15"/>
      <c r="F169" s="15"/>
      <c r="G169" s="15"/>
      <c r="K169" s="15"/>
    </row>
    <row r="170" ht="15.75" customHeight="1">
      <c r="C170" s="15"/>
      <c r="F170" s="15"/>
      <c r="G170" s="15"/>
      <c r="K170" s="15"/>
    </row>
    <row r="171" ht="15.75" customHeight="1">
      <c r="C171" s="15"/>
      <c r="F171" s="15"/>
      <c r="G171" s="15"/>
      <c r="K171" s="15"/>
    </row>
    <row r="172" ht="15.75" customHeight="1">
      <c r="C172" s="15"/>
      <c r="F172" s="15"/>
      <c r="G172" s="15"/>
      <c r="K172" s="15"/>
    </row>
    <row r="173" ht="15.75" customHeight="1">
      <c r="C173" s="15"/>
      <c r="F173" s="15"/>
      <c r="G173" s="15"/>
      <c r="K173" s="15"/>
    </row>
    <row r="174" ht="15.75" customHeight="1">
      <c r="C174" s="15"/>
      <c r="F174" s="15"/>
      <c r="G174" s="15"/>
      <c r="K174" s="15"/>
    </row>
    <row r="175" ht="15.75" customHeight="1">
      <c r="C175" s="15"/>
      <c r="F175" s="15"/>
      <c r="G175" s="15"/>
      <c r="K175" s="15"/>
    </row>
    <row r="176" ht="15.75" customHeight="1">
      <c r="C176" s="15"/>
      <c r="F176" s="15"/>
      <c r="G176" s="15"/>
      <c r="K176" s="15"/>
    </row>
    <row r="177" ht="15.75" customHeight="1">
      <c r="C177" s="15"/>
      <c r="F177" s="15"/>
      <c r="G177" s="15"/>
      <c r="K177" s="15"/>
    </row>
    <row r="178" ht="15.75" customHeight="1">
      <c r="C178" s="15"/>
      <c r="F178" s="15"/>
      <c r="G178" s="15"/>
      <c r="K178" s="15"/>
    </row>
    <row r="179" ht="15.75" customHeight="1">
      <c r="C179" s="15"/>
      <c r="F179" s="15"/>
      <c r="G179" s="15"/>
      <c r="K179" s="15"/>
    </row>
    <row r="180" ht="15.75" customHeight="1">
      <c r="C180" s="15"/>
      <c r="F180" s="15"/>
      <c r="G180" s="15"/>
      <c r="K180" s="15"/>
    </row>
    <row r="181" ht="15.75" customHeight="1">
      <c r="C181" s="15"/>
      <c r="F181" s="15"/>
      <c r="G181" s="15"/>
      <c r="K181" s="15"/>
    </row>
    <row r="182" ht="15.75" customHeight="1">
      <c r="C182" s="15"/>
      <c r="F182" s="15"/>
      <c r="G182" s="15"/>
      <c r="K182" s="15"/>
    </row>
    <row r="183" ht="15.75" customHeight="1">
      <c r="C183" s="15"/>
      <c r="F183" s="15"/>
      <c r="G183" s="15"/>
      <c r="K183" s="15"/>
    </row>
    <row r="184" ht="15.75" customHeight="1">
      <c r="C184" s="15"/>
      <c r="F184" s="15"/>
      <c r="G184" s="15"/>
      <c r="K184" s="15"/>
    </row>
    <row r="185" ht="15.75" customHeight="1">
      <c r="C185" s="15"/>
      <c r="F185" s="15"/>
      <c r="G185" s="15"/>
      <c r="K185" s="15"/>
    </row>
    <row r="186" ht="15.75" customHeight="1">
      <c r="C186" s="15"/>
      <c r="F186" s="15"/>
      <c r="G186" s="15"/>
      <c r="K186" s="15"/>
    </row>
    <row r="187" ht="15.75" customHeight="1">
      <c r="C187" s="15"/>
      <c r="F187" s="15"/>
      <c r="G187" s="15"/>
      <c r="K187" s="15"/>
    </row>
    <row r="188" ht="15.75" customHeight="1">
      <c r="C188" s="15"/>
      <c r="F188" s="15"/>
      <c r="G188" s="15"/>
      <c r="K188" s="15"/>
    </row>
    <row r="189" ht="15.75" customHeight="1">
      <c r="C189" s="15"/>
      <c r="F189" s="15"/>
      <c r="G189" s="15"/>
      <c r="K189" s="15"/>
    </row>
    <row r="190" ht="15.75" customHeight="1">
      <c r="C190" s="15"/>
      <c r="F190" s="15"/>
      <c r="G190" s="15"/>
      <c r="K190" s="15"/>
    </row>
    <row r="191" ht="15.75" customHeight="1">
      <c r="C191" s="15"/>
      <c r="F191" s="15"/>
      <c r="G191" s="15"/>
      <c r="K191" s="15"/>
    </row>
    <row r="192" ht="15.75" customHeight="1">
      <c r="C192" s="15"/>
      <c r="F192" s="15"/>
      <c r="G192" s="15"/>
      <c r="K192" s="15"/>
    </row>
    <row r="193" ht="15.75" customHeight="1">
      <c r="C193" s="15"/>
      <c r="F193" s="15"/>
      <c r="G193" s="15"/>
      <c r="K193" s="15"/>
    </row>
    <row r="194" ht="15.75" customHeight="1">
      <c r="C194" s="15"/>
      <c r="F194" s="15"/>
      <c r="G194" s="15"/>
      <c r="K194" s="15"/>
    </row>
    <row r="195" ht="15.75" customHeight="1">
      <c r="C195" s="15"/>
      <c r="F195" s="15"/>
      <c r="G195" s="15"/>
      <c r="K195" s="15"/>
    </row>
    <row r="196" ht="15.75" customHeight="1">
      <c r="C196" s="15"/>
      <c r="F196" s="15"/>
      <c r="G196" s="15"/>
      <c r="K196" s="15"/>
    </row>
    <row r="197" ht="15.75" customHeight="1">
      <c r="C197" s="15"/>
      <c r="F197" s="15"/>
      <c r="G197" s="15"/>
      <c r="K197" s="15"/>
    </row>
    <row r="198" ht="15.75" customHeight="1">
      <c r="C198" s="15"/>
      <c r="F198" s="15"/>
      <c r="G198" s="15"/>
      <c r="K198" s="15"/>
    </row>
    <row r="199" ht="15.75" customHeight="1">
      <c r="C199" s="15"/>
      <c r="F199" s="15"/>
      <c r="G199" s="15"/>
      <c r="K199" s="15"/>
    </row>
    <row r="200" ht="15.75" customHeight="1">
      <c r="C200" s="15"/>
      <c r="F200" s="15"/>
      <c r="G200" s="15"/>
      <c r="K200" s="15"/>
    </row>
    <row r="201" ht="15.75" customHeight="1">
      <c r="C201" s="15"/>
      <c r="F201" s="15"/>
      <c r="G201" s="15"/>
      <c r="K201" s="15"/>
    </row>
    <row r="202" ht="15.75" customHeight="1">
      <c r="C202" s="15"/>
      <c r="F202" s="15"/>
      <c r="G202" s="15"/>
      <c r="K202" s="15"/>
    </row>
    <row r="203" ht="15.75" customHeight="1">
      <c r="C203" s="15"/>
      <c r="F203" s="15"/>
      <c r="G203" s="15"/>
      <c r="K203" s="15"/>
    </row>
    <row r="204" ht="15.75" customHeight="1">
      <c r="C204" s="15"/>
      <c r="F204" s="15"/>
      <c r="G204" s="15"/>
      <c r="K204" s="15"/>
    </row>
    <row r="205" ht="15.75" customHeight="1">
      <c r="C205" s="15"/>
      <c r="F205" s="15"/>
      <c r="G205" s="15"/>
      <c r="K205" s="15"/>
    </row>
    <row r="206" ht="15.75" customHeight="1">
      <c r="C206" s="15"/>
      <c r="F206" s="15"/>
      <c r="G206" s="15"/>
      <c r="K206" s="15"/>
    </row>
    <row r="207" ht="15.75" customHeight="1">
      <c r="C207" s="15"/>
      <c r="F207" s="15"/>
      <c r="G207" s="15"/>
      <c r="K207" s="15"/>
    </row>
    <row r="208" ht="15.75" customHeight="1">
      <c r="C208" s="15"/>
      <c r="F208" s="15"/>
      <c r="G208" s="15"/>
      <c r="K208" s="15"/>
    </row>
    <row r="209" ht="15.75" customHeight="1">
      <c r="C209" s="15"/>
      <c r="F209" s="15"/>
      <c r="G209" s="15"/>
      <c r="K209" s="15"/>
    </row>
    <row r="210" ht="15.75" customHeight="1">
      <c r="C210" s="15"/>
      <c r="F210" s="15"/>
      <c r="G210" s="15"/>
      <c r="K210" s="15"/>
    </row>
    <row r="211" ht="15.75" customHeight="1">
      <c r="C211" s="15"/>
      <c r="F211" s="15"/>
      <c r="G211" s="15"/>
      <c r="K211" s="15"/>
    </row>
    <row r="212" ht="15.75" customHeight="1">
      <c r="C212" s="15"/>
      <c r="F212" s="15"/>
      <c r="G212" s="15"/>
      <c r="K212" s="15"/>
    </row>
    <row r="213" ht="15.75" customHeight="1">
      <c r="C213" s="15"/>
      <c r="F213" s="15"/>
      <c r="G213" s="15"/>
      <c r="K213" s="15"/>
    </row>
    <row r="214" ht="15.75" customHeight="1">
      <c r="C214" s="15"/>
      <c r="F214" s="15"/>
      <c r="G214" s="15"/>
      <c r="K214" s="15"/>
    </row>
    <row r="215" ht="15.75" customHeight="1">
      <c r="C215" s="15"/>
      <c r="F215" s="15"/>
      <c r="G215" s="15"/>
      <c r="K215" s="15"/>
    </row>
    <row r="216" ht="15.75" customHeight="1">
      <c r="C216" s="15"/>
      <c r="F216" s="15"/>
      <c r="G216" s="15"/>
      <c r="K216" s="15"/>
    </row>
    <row r="217" ht="15.75" customHeight="1">
      <c r="C217" s="15"/>
      <c r="F217" s="15"/>
      <c r="G217" s="15"/>
      <c r="K217" s="15"/>
    </row>
    <row r="218" ht="15.75" customHeight="1">
      <c r="C218" s="15"/>
      <c r="F218" s="15"/>
      <c r="G218" s="15"/>
      <c r="K218" s="15"/>
    </row>
    <row r="219" ht="15.75" customHeight="1">
      <c r="C219" s="15"/>
      <c r="F219" s="15"/>
      <c r="G219" s="15"/>
      <c r="K219" s="15"/>
    </row>
    <row r="220" ht="15.75" customHeight="1">
      <c r="C220" s="15"/>
      <c r="F220" s="15"/>
      <c r="G220" s="15"/>
      <c r="K220" s="15"/>
    </row>
    <row r="221" ht="15.75" customHeight="1">
      <c r="C221" s="15"/>
      <c r="F221" s="15"/>
      <c r="G221" s="15"/>
      <c r="K221" s="15"/>
    </row>
    <row r="222" ht="15.75" customHeight="1">
      <c r="C222" s="15"/>
      <c r="F222" s="15"/>
      <c r="G222" s="15"/>
      <c r="K222" s="15"/>
    </row>
    <row r="223" ht="15.75" customHeight="1">
      <c r="C223" s="15"/>
      <c r="F223" s="15"/>
      <c r="G223" s="15"/>
      <c r="K223" s="15"/>
    </row>
    <row r="224" ht="15.75" customHeight="1">
      <c r="C224" s="15"/>
      <c r="F224" s="15"/>
      <c r="G224" s="15"/>
      <c r="K224" s="15"/>
    </row>
    <row r="225" ht="15.75" customHeight="1">
      <c r="C225" s="15"/>
      <c r="F225" s="15"/>
      <c r="G225" s="15"/>
      <c r="K225" s="15"/>
    </row>
    <row r="226" ht="15.75" customHeight="1">
      <c r="C226" s="15"/>
      <c r="F226" s="15"/>
      <c r="G226" s="15"/>
      <c r="K226" s="15"/>
    </row>
    <row r="227" ht="15.75" customHeight="1">
      <c r="C227" s="15"/>
      <c r="F227" s="15"/>
      <c r="G227" s="15"/>
      <c r="K227" s="15"/>
    </row>
    <row r="228" ht="15.75" customHeight="1">
      <c r="C228" s="15"/>
      <c r="F228" s="15"/>
      <c r="G228" s="15"/>
      <c r="K228" s="15"/>
    </row>
    <row r="229" ht="15.75" customHeight="1">
      <c r="C229" s="15"/>
      <c r="F229" s="15"/>
      <c r="G229" s="15"/>
      <c r="K229" s="15"/>
    </row>
    <row r="230" ht="15.75" customHeight="1">
      <c r="C230" s="15"/>
      <c r="F230" s="15"/>
      <c r="G230" s="15"/>
      <c r="K230" s="15"/>
    </row>
    <row r="231" ht="15.75" customHeight="1">
      <c r="C231" s="15"/>
      <c r="F231" s="15"/>
      <c r="G231" s="15"/>
      <c r="K231" s="15"/>
    </row>
    <row r="232" ht="15.75" customHeight="1">
      <c r="C232" s="15"/>
      <c r="F232" s="15"/>
      <c r="G232" s="15"/>
      <c r="K232" s="15"/>
    </row>
    <row r="233" ht="15.75" customHeight="1">
      <c r="C233" s="15"/>
      <c r="F233" s="15"/>
      <c r="G233" s="15"/>
      <c r="K233" s="15"/>
    </row>
    <row r="234" ht="15.75" customHeight="1">
      <c r="C234" s="15"/>
      <c r="F234" s="15"/>
      <c r="G234" s="15"/>
      <c r="K234" s="15"/>
    </row>
    <row r="235" ht="15.75" customHeight="1">
      <c r="C235" s="15"/>
      <c r="F235" s="15"/>
      <c r="G235" s="15"/>
      <c r="K235" s="15"/>
    </row>
    <row r="236" ht="15.75" customHeight="1">
      <c r="C236" s="15"/>
      <c r="F236" s="15"/>
      <c r="G236" s="15"/>
      <c r="K236" s="15"/>
    </row>
    <row r="237" ht="15.75" customHeight="1">
      <c r="C237" s="15"/>
      <c r="F237" s="15"/>
      <c r="G237" s="15"/>
      <c r="K237" s="15"/>
    </row>
    <row r="238" ht="15.75" customHeight="1">
      <c r="C238" s="15"/>
      <c r="F238" s="15"/>
      <c r="G238" s="15"/>
      <c r="K238" s="15"/>
    </row>
    <row r="239" ht="15.75" customHeight="1">
      <c r="C239" s="15"/>
      <c r="F239" s="15"/>
      <c r="G239" s="15"/>
      <c r="K239" s="15"/>
    </row>
    <row r="240" ht="15.75" customHeight="1">
      <c r="C240" s="15"/>
      <c r="F240" s="15"/>
      <c r="G240" s="15"/>
      <c r="K240" s="15"/>
    </row>
    <row r="241" ht="15.75" customHeight="1">
      <c r="C241" s="15"/>
      <c r="F241" s="15"/>
      <c r="G241" s="15"/>
      <c r="K241" s="15"/>
    </row>
    <row r="242" ht="15.75" customHeight="1">
      <c r="C242" s="15"/>
      <c r="F242" s="15"/>
      <c r="G242" s="15"/>
      <c r="K242" s="15"/>
    </row>
    <row r="243" ht="15.75" customHeight="1">
      <c r="C243" s="15"/>
      <c r="F243" s="15"/>
      <c r="G243" s="15"/>
      <c r="K243" s="15"/>
    </row>
    <row r="244" ht="15.75" customHeight="1">
      <c r="C244" s="15"/>
      <c r="F244" s="15"/>
      <c r="G244" s="15"/>
      <c r="K244" s="15"/>
    </row>
    <row r="245" ht="15.75" customHeight="1">
      <c r="C245" s="15"/>
      <c r="F245" s="15"/>
      <c r="G245" s="15"/>
      <c r="K245" s="15"/>
    </row>
    <row r="246" ht="15.75" customHeight="1">
      <c r="C246" s="15"/>
      <c r="F246" s="15"/>
      <c r="G246" s="15"/>
      <c r="K246" s="15"/>
    </row>
    <row r="247" ht="15.75" customHeight="1">
      <c r="C247" s="15"/>
      <c r="F247" s="15"/>
      <c r="G247" s="15"/>
      <c r="K247" s="15"/>
    </row>
    <row r="248" ht="15.75" customHeight="1">
      <c r="C248" s="15"/>
      <c r="F248" s="15"/>
      <c r="G248" s="15"/>
      <c r="K248" s="15"/>
    </row>
    <row r="249" ht="15.75" customHeight="1">
      <c r="C249" s="15"/>
      <c r="F249" s="15"/>
      <c r="G249" s="15"/>
      <c r="K249" s="15"/>
    </row>
    <row r="250" ht="15.75" customHeight="1">
      <c r="C250" s="15"/>
      <c r="F250" s="15"/>
      <c r="G250" s="15"/>
      <c r="K250" s="15"/>
    </row>
    <row r="251" ht="15.75" customHeight="1">
      <c r="C251" s="15"/>
      <c r="F251" s="15"/>
      <c r="G251" s="15"/>
      <c r="K251" s="15"/>
    </row>
    <row r="252" ht="15.75" customHeight="1">
      <c r="C252" s="15"/>
      <c r="F252" s="15"/>
      <c r="G252" s="15"/>
      <c r="K252" s="15"/>
    </row>
    <row r="253" ht="15.75" customHeight="1">
      <c r="C253" s="15"/>
      <c r="F253" s="15"/>
      <c r="G253" s="15"/>
      <c r="K253" s="15"/>
    </row>
    <row r="254" ht="15.75" customHeight="1">
      <c r="C254" s="15"/>
      <c r="F254" s="15"/>
      <c r="G254" s="15"/>
      <c r="K254" s="15"/>
    </row>
    <row r="255" ht="15.75" customHeight="1">
      <c r="C255" s="15"/>
      <c r="F255" s="15"/>
      <c r="G255" s="15"/>
      <c r="K255" s="15"/>
    </row>
    <row r="256" ht="15.75" customHeight="1">
      <c r="C256" s="15"/>
      <c r="F256" s="15"/>
      <c r="G256" s="15"/>
      <c r="K256" s="15"/>
    </row>
    <row r="257" ht="15.75" customHeight="1">
      <c r="C257" s="15"/>
      <c r="F257" s="15"/>
      <c r="G257" s="15"/>
      <c r="K257" s="15"/>
    </row>
    <row r="258" ht="15.75" customHeight="1">
      <c r="C258" s="15"/>
      <c r="F258" s="15"/>
      <c r="G258" s="15"/>
      <c r="K258" s="15"/>
    </row>
    <row r="259" ht="15.75" customHeight="1">
      <c r="C259" s="15"/>
      <c r="F259" s="15"/>
      <c r="G259" s="15"/>
      <c r="K259" s="15"/>
    </row>
    <row r="260" ht="15.75" customHeight="1">
      <c r="C260" s="15"/>
      <c r="F260" s="15"/>
      <c r="G260" s="15"/>
      <c r="K260" s="15"/>
    </row>
    <row r="261" ht="15.75" customHeight="1">
      <c r="C261" s="15"/>
      <c r="F261" s="15"/>
      <c r="G261" s="15"/>
      <c r="K261" s="15"/>
    </row>
    <row r="262" ht="15.75" customHeight="1">
      <c r="C262" s="15"/>
      <c r="F262" s="15"/>
      <c r="G262" s="15"/>
      <c r="K262" s="15"/>
    </row>
    <row r="263" ht="15.75" customHeight="1">
      <c r="C263" s="15"/>
      <c r="F263" s="15"/>
      <c r="G263" s="15"/>
      <c r="K263" s="15"/>
    </row>
    <row r="264" ht="15.75" customHeight="1">
      <c r="C264" s="15"/>
      <c r="F264" s="15"/>
      <c r="G264" s="15"/>
      <c r="K264" s="15"/>
    </row>
    <row r="265" ht="15.75" customHeight="1">
      <c r="C265" s="15"/>
      <c r="F265" s="15"/>
      <c r="G265" s="15"/>
      <c r="K265" s="15"/>
    </row>
    <row r="266" ht="15.75" customHeight="1">
      <c r="C266" s="15"/>
      <c r="F266" s="15"/>
      <c r="G266" s="15"/>
      <c r="K266" s="15"/>
    </row>
    <row r="267" ht="15.75" customHeight="1">
      <c r="C267" s="15"/>
      <c r="F267" s="15"/>
      <c r="G267" s="15"/>
      <c r="K267" s="15"/>
    </row>
    <row r="268" ht="15.75" customHeight="1">
      <c r="C268" s="15"/>
      <c r="F268" s="15"/>
      <c r="G268" s="15"/>
      <c r="K268" s="15"/>
    </row>
    <row r="269" ht="15.75" customHeight="1">
      <c r="C269" s="15"/>
      <c r="F269" s="15"/>
      <c r="G269" s="15"/>
      <c r="K269" s="15"/>
    </row>
    <row r="270" ht="15.75" customHeight="1">
      <c r="C270" s="15"/>
      <c r="F270" s="15"/>
      <c r="G270" s="15"/>
      <c r="K270" s="15"/>
    </row>
    <row r="271" ht="15.75" customHeight="1">
      <c r="C271" s="15"/>
      <c r="F271" s="15"/>
      <c r="G271" s="15"/>
      <c r="K271" s="15"/>
    </row>
    <row r="272" ht="15.75" customHeight="1">
      <c r="C272" s="15"/>
      <c r="F272" s="15"/>
      <c r="G272" s="15"/>
      <c r="K272" s="15"/>
    </row>
    <row r="273" ht="15.75" customHeight="1">
      <c r="C273" s="15"/>
      <c r="F273" s="15"/>
      <c r="G273" s="15"/>
      <c r="K273" s="15"/>
    </row>
    <row r="274" ht="15.75" customHeight="1">
      <c r="C274" s="15"/>
      <c r="F274" s="15"/>
      <c r="G274" s="15"/>
      <c r="K274" s="15"/>
    </row>
    <row r="275" ht="15.75" customHeight="1">
      <c r="C275" s="15"/>
      <c r="F275" s="15"/>
      <c r="G275" s="15"/>
      <c r="K275" s="15"/>
    </row>
    <row r="276" ht="15.75" customHeight="1">
      <c r="C276" s="15"/>
      <c r="F276" s="15"/>
      <c r="G276" s="15"/>
      <c r="K276" s="15"/>
    </row>
    <row r="277" ht="15.75" customHeight="1">
      <c r="C277" s="15"/>
      <c r="F277" s="15"/>
      <c r="G277" s="15"/>
      <c r="K277" s="15"/>
    </row>
    <row r="278" ht="15.75" customHeight="1">
      <c r="C278" s="15"/>
      <c r="F278" s="15"/>
      <c r="G278" s="15"/>
      <c r="K278" s="15"/>
    </row>
    <row r="279" ht="15.75" customHeight="1">
      <c r="C279" s="15"/>
      <c r="F279" s="15"/>
      <c r="G279" s="15"/>
      <c r="K279" s="15"/>
    </row>
    <row r="280" ht="15.75" customHeight="1">
      <c r="C280" s="15"/>
      <c r="F280" s="15"/>
      <c r="G280" s="15"/>
      <c r="K280" s="15"/>
    </row>
    <row r="281" ht="15.75" customHeight="1">
      <c r="C281" s="15"/>
      <c r="F281" s="15"/>
      <c r="G281" s="15"/>
      <c r="K281" s="15"/>
    </row>
    <row r="282" ht="15.75" customHeight="1">
      <c r="C282" s="15"/>
      <c r="F282" s="15"/>
      <c r="G282" s="15"/>
      <c r="K282" s="15"/>
    </row>
    <row r="283" ht="15.75" customHeight="1">
      <c r="C283" s="15"/>
      <c r="F283" s="15"/>
      <c r="G283" s="15"/>
      <c r="K283" s="15"/>
    </row>
    <row r="284" ht="15.75" customHeight="1">
      <c r="C284" s="15"/>
      <c r="F284" s="15"/>
      <c r="G284" s="15"/>
      <c r="K284" s="15"/>
    </row>
    <row r="285" ht="15.75" customHeight="1">
      <c r="C285" s="15"/>
      <c r="F285" s="15"/>
      <c r="G285" s="15"/>
      <c r="K285" s="15"/>
    </row>
    <row r="286" ht="15.75" customHeight="1">
      <c r="C286" s="15"/>
      <c r="F286" s="15"/>
      <c r="G286" s="15"/>
      <c r="K286" s="15"/>
    </row>
    <row r="287" ht="15.75" customHeight="1">
      <c r="C287" s="15"/>
      <c r="F287" s="15"/>
      <c r="G287" s="15"/>
      <c r="K287" s="15"/>
    </row>
    <row r="288" ht="15.75" customHeight="1">
      <c r="C288" s="15"/>
      <c r="F288" s="15"/>
      <c r="G288" s="15"/>
      <c r="K288" s="15"/>
    </row>
    <row r="289" ht="15.75" customHeight="1">
      <c r="C289" s="15"/>
      <c r="F289" s="15"/>
      <c r="G289" s="15"/>
      <c r="K289" s="15"/>
    </row>
    <row r="290" ht="15.75" customHeight="1">
      <c r="C290" s="15"/>
      <c r="F290" s="15"/>
      <c r="G290" s="15"/>
      <c r="K290" s="15"/>
    </row>
    <row r="291" ht="15.75" customHeight="1">
      <c r="C291" s="15"/>
      <c r="F291" s="15"/>
      <c r="G291" s="15"/>
      <c r="K291" s="15"/>
    </row>
    <row r="292" ht="15.75" customHeight="1">
      <c r="C292" s="15"/>
      <c r="F292" s="15"/>
      <c r="G292" s="15"/>
      <c r="K292" s="15"/>
    </row>
    <row r="293" ht="15.75" customHeight="1">
      <c r="C293" s="15"/>
      <c r="F293" s="15"/>
      <c r="G293" s="15"/>
      <c r="K293" s="15"/>
    </row>
    <row r="294" ht="15.75" customHeight="1">
      <c r="C294" s="15"/>
      <c r="F294" s="15"/>
      <c r="G294" s="15"/>
      <c r="K294" s="15"/>
    </row>
    <row r="295" ht="15.75" customHeight="1">
      <c r="C295" s="15"/>
      <c r="F295" s="15"/>
      <c r="G295" s="15"/>
      <c r="K295" s="15"/>
    </row>
    <row r="296" ht="15.75" customHeight="1">
      <c r="C296" s="15"/>
      <c r="F296" s="15"/>
      <c r="G296" s="15"/>
      <c r="K296" s="15"/>
    </row>
    <row r="297" ht="15.75" customHeight="1">
      <c r="C297" s="15"/>
      <c r="F297" s="15"/>
      <c r="G297" s="15"/>
      <c r="K297" s="15"/>
    </row>
    <row r="298" ht="15.75" customHeight="1">
      <c r="C298" s="15"/>
      <c r="F298" s="15"/>
      <c r="G298" s="15"/>
      <c r="K298" s="15"/>
    </row>
    <row r="299" ht="15.75" customHeight="1">
      <c r="C299" s="15"/>
      <c r="F299" s="15"/>
      <c r="G299" s="15"/>
      <c r="K299" s="15"/>
    </row>
    <row r="300" ht="15.75" customHeight="1">
      <c r="C300" s="15"/>
      <c r="F300" s="15"/>
      <c r="G300" s="15"/>
      <c r="K300" s="15"/>
    </row>
    <row r="301" ht="15.75" customHeight="1">
      <c r="C301" s="15"/>
      <c r="F301" s="15"/>
      <c r="G301" s="15"/>
      <c r="K301" s="15"/>
    </row>
    <row r="302" ht="15.75" customHeight="1">
      <c r="C302" s="15"/>
      <c r="F302" s="15"/>
      <c r="G302" s="15"/>
      <c r="K302" s="15"/>
    </row>
    <row r="303" ht="15.75" customHeight="1">
      <c r="C303" s="15"/>
      <c r="F303" s="15"/>
      <c r="G303" s="15"/>
      <c r="K303" s="15"/>
    </row>
    <row r="304" ht="15.75" customHeight="1">
      <c r="C304" s="15"/>
      <c r="F304" s="15"/>
      <c r="G304" s="15"/>
      <c r="K304" s="15"/>
    </row>
    <row r="305" ht="15.75" customHeight="1">
      <c r="C305" s="15"/>
      <c r="F305" s="15"/>
      <c r="G305" s="15"/>
      <c r="K305" s="15"/>
    </row>
    <row r="306" ht="15.75" customHeight="1">
      <c r="C306" s="15"/>
      <c r="F306" s="15"/>
      <c r="G306" s="15"/>
      <c r="K306" s="15"/>
    </row>
    <row r="307" ht="15.75" customHeight="1">
      <c r="C307" s="15"/>
      <c r="F307" s="15"/>
      <c r="G307" s="15"/>
      <c r="K307" s="15"/>
    </row>
    <row r="308" ht="15.75" customHeight="1">
      <c r="C308" s="15"/>
      <c r="F308" s="15"/>
      <c r="G308" s="15"/>
      <c r="K308" s="15"/>
    </row>
    <row r="309" ht="15.75" customHeight="1">
      <c r="C309" s="15"/>
      <c r="F309" s="15"/>
      <c r="G309" s="15"/>
      <c r="K309" s="15"/>
    </row>
    <row r="310" ht="15.75" customHeight="1">
      <c r="C310" s="15"/>
      <c r="F310" s="15"/>
      <c r="G310" s="15"/>
      <c r="K310" s="15"/>
    </row>
    <row r="311" ht="15.75" customHeight="1">
      <c r="C311" s="15"/>
      <c r="F311" s="15"/>
      <c r="G311" s="15"/>
      <c r="K311" s="15"/>
    </row>
    <row r="312" ht="15.75" customHeight="1">
      <c r="C312" s="15"/>
      <c r="F312" s="15"/>
      <c r="G312" s="15"/>
      <c r="K312" s="15"/>
    </row>
    <row r="313" ht="15.75" customHeight="1">
      <c r="C313" s="15"/>
      <c r="F313" s="15"/>
      <c r="G313" s="15"/>
      <c r="K313" s="15"/>
    </row>
    <row r="314" ht="15.75" customHeight="1">
      <c r="C314" s="15"/>
      <c r="F314" s="15"/>
      <c r="G314" s="15"/>
      <c r="K314" s="15"/>
    </row>
    <row r="315" ht="15.75" customHeight="1">
      <c r="C315" s="15"/>
      <c r="F315" s="15"/>
      <c r="G315" s="15"/>
      <c r="K315" s="15"/>
    </row>
    <row r="316" ht="15.75" customHeight="1">
      <c r="C316" s="15"/>
      <c r="F316" s="15"/>
      <c r="G316" s="15"/>
      <c r="K316" s="15"/>
    </row>
    <row r="317" ht="15.75" customHeight="1">
      <c r="C317" s="15"/>
      <c r="F317" s="15"/>
      <c r="G317" s="15"/>
      <c r="K317" s="15"/>
    </row>
    <row r="318" ht="15.75" customHeight="1">
      <c r="C318" s="15"/>
      <c r="F318" s="15"/>
      <c r="G318" s="15"/>
      <c r="K318" s="15"/>
    </row>
    <row r="319" ht="15.75" customHeight="1">
      <c r="C319" s="15"/>
      <c r="F319" s="15"/>
      <c r="G319" s="15"/>
      <c r="K319" s="15"/>
    </row>
    <row r="320" ht="15.75" customHeight="1">
      <c r="C320" s="15"/>
      <c r="F320" s="15"/>
      <c r="G320" s="15"/>
      <c r="K320" s="15"/>
    </row>
    <row r="321" ht="15.75" customHeight="1">
      <c r="C321" s="15"/>
      <c r="F321" s="15"/>
      <c r="G321" s="15"/>
      <c r="K321" s="15"/>
    </row>
    <row r="322" ht="15.75" customHeight="1">
      <c r="C322" s="15"/>
      <c r="F322" s="15"/>
      <c r="G322" s="15"/>
      <c r="K322" s="15"/>
    </row>
    <row r="323" ht="15.75" customHeight="1">
      <c r="C323" s="15"/>
      <c r="F323" s="15"/>
      <c r="G323" s="15"/>
      <c r="K323" s="15"/>
    </row>
    <row r="324" ht="15.75" customHeight="1">
      <c r="C324" s="15"/>
      <c r="F324" s="15"/>
      <c r="G324" s="15"/>
      <c r="K324" s="15"/>
    </row>
    <row r="325" ht="15.75" customHeight="1">
      <c r="C325" s="15"/>
      <c r="F325" s="15"/>
      <c r="G325" s="15"/>
      <c r="K325" s="15"/>
    </row>
    <row r="326" ht="15.75" customHeight="1">
      <c r="C326" s="15"/>
      <c r="F326" s="15"/>
      <c r="G326" s="15"/>
      <c r="K326" s="15"/>
    </row>
    <row r="327" ht="15.75" customHeight="1">
      <c r="C327" s="15"/>
      <c r="F327" s="15"/>
      <c r="G327" s="15"/>
      <c r="K327" s="15"/>
    </row>
    <row r="328" ht="15.75" customHeight="1">
      <c r="C328" s="15"/>
      <c r="F328" s="15"/>
      <c r="G328" s="15"/>
      <c r="K328" s="15"/>
    </row>
    <row r="329" ht="15.75" customHeight="1">
      <c r="C329" s="15"/>
      <c r="F329" s="15"/>
      <c r="G329" s="15"/>
      <c r="K329" s="15"/>
    </row>
    <row r="330" ht="15.75" customHeight="1">
      <c r="C330" s="15"/>
      <c r="F330" s="15"/>
      <c r="G330" s="15"/>
      <c r="K330" s="15"/>
    </row>
    <row r="331" ht="15.75" customHeight="1">
      <c r="C331" s="15"/>
      <c r="F331" s="15"/>
      <c r="G331" s="15"/>
      <c r="K331" s="15"/>
    </row>
    <row r="332" ht="15.75" customHeight="1">
      <c r="C332" s="15"/>
      <c r="F332" s="15"/>
      <c r="G332" s="15"/>
      <c r="K332" s="15"/>
    </row>
    <row r="333" ht="15.75" customHeight="1">
      <c r="C333" s="15"/>
      <c r="F333" s="15"/>
      <c r="G333" s="15"/>
      <c r="K333" s="15"/>
    </row>
    <row r="334" ht="15.75" customHeight="1">
      <c r="C334" s="15"/>
      <c r="F334" s="15"/>
      <c r="G334" s="15"/>
      <c r="K334" s="15"/>
    </row>
    <row r="335" ht="15.75" customHeight="1">
      <c r="C335" s="15"/>
      <c r="F335" s="15"/>
      <c r="G335" s="15"/>
      <c r="K335" s="15"/>
    </row>
    <row r="336" ht="15.75" customHeight="1">
      <c r="C336" s="15"/>
      <c r="F336" s="15"/>
      <c r="G336" s="15"/>
      <c r="K336" s="15"/>
    </row>
    <row r="337" ht="15.75" customHeight="1">
      <c r="C337" s="15"/>
      <c r="F337" s="15"/>
      <c r="G337" s="15"/>
      <c r="K337" s="15"/>
    </row>
    <row r="338" ht="15.75" customHeight="1">
      <c r="C338" s="15"/>
      <c r="F338" s="15"/>
      <c r="G338" s="15"/>
      <c r="K338" s="15"/>
    </row>
    <row r="339" ht="15.75" customHeight="1">
      <c r="C339" s="15"/>
      <c r="F339" s="15"/>
      <c r="G339" s="15"/>
      <c r="K339" s="15"/>
    </row>
    <row r="340" ht="15.75" customHeight="1">
      <c r="C340" s="15"/>
      <c r="F340" s="15"/>
      <c r="G340" s="15"/>
      <c r="K340" s="15"/>
    </row>
    <row r="341" ht="15.75" customHeight="1">
      <c r="C341" s="15"/>
      <c r="F341" s="15"/>
      <c r="G341" s="15"/>
      <c r="K341" s="15"/>
    </row>
    <row r="342" ht="15.75" customHeight="1">
      <c r="C342" s="15"/>
      <c r="F342" s="15"/>
      <c r="G342" s="15"/>
      <c r="K342" s="15"/>
    </row>
    <row r="343" ht="15.75" customHeight="1">
      <c r="C343" s="15"/>
      <c r="F343" s="15"/>
      <c r="G343" s="15"/>
      <c r="K343" s="15"/>
    </row>
    <row r="344" ht="15.75" customHeight="1">
      <c r="C344" s="15"/>
      <c r="F344" s="15"/>
      <c r="G344" s="15"/>
      <c r="K344" s="15"/>
    </row>
    <row r="345" ht="15.75" customHeight="1">
      <c r="C345" s="15"/>
      <c r="F345" s="15"/>
      <c r="G345" s="15"/>
      <c r="K345" s="15"/>
    </row>
    <row r="346" ht="15.75" customHeight="1">
      <c r="C346" s="15"/>
      <c r="F346" s="15"/>
      <c r="G346" s="15"/>
      <c r="K346" s="15"/>
    </row>
    <row r="347" ht="15.75" customHeight="1">
      <c r="C347" s="15"/>
      <c r="F347" s="15"/>
      <c r="G347" s="15"/>
      <c r="K347" s="15"/>
    </row>
    <row r="348" ht="15.75" customHeight="1">
      <c r="C348" s="15"/>
      <c r="F348" s="15"/>
      <c r="G348" s="15"/>
      <c r="K348" s="15"/>
    </row>
    <row r="349" ht="15.75" customHeight="1">
      <c r="C349" s="15"/>
      <c r="F349" s="15"/>
      <c r="G349" s="15"/>
      <c r="K349" s="15"/>
    </row>
    <row r="350" ht="15.75" customHeight="1">
      <c r="C350" s="15"/>
      <c r="F350" s="15"/>
      <c r="G350" s="15"/>
      <c r="K350" s="15"/>
    </row>
    <row r="351" ht="15.75" customHeight="1">
      <c r="C351" s="15"/>
      <c r="F351" s="15"/>
      <c r="G351" s="15"/>
      <c r="K351" s="15"/>
    </row>
    <row r="352" ht="15.75" customHeight="1">
      <c r="C352" s="15"/>
      <c r="F352" s="15"/>
      <c r="G352" s="15"/>
      <c r="K352" s="15"/>
    </row>
    <row r="353" ht="15.75" customHeight="1">
      <c r="C353" s="15"/>
      <c r="F353" s="15"/>
      <c r="G353" s="15"/>
      <c r="K353" s="15"/>
    </row>
    <row r="354" ht="15.75" customHeight="1">
      <c r="C354" s="15"/>
      <c r="F354" s="15"/>
      <c r="G354" s="15"/>
      <c r="K354" s="15"/>
    </row>
    <row r="355" ht="15.75" customHeight="1">
      <c r="C355" s="15"/>
      <c r="F355" s="15"/>
      <c r="G355" s="15"/>
      <c r="K355" s="15"/>
    </row>
    <row r="356" ht="15.75" customHeight="1">
      <c r="C356" s="15"/>
      <c r="F356" s="15"/>
      <c r="G356" s="15"/>
      <c r="K356" s="15"/>
    </row>
    <row r="357" ht="15.75" customHeight="1">
      <c r="C357" s="15"/>
      <c r="F357" s="15"/>
      <c r="G357" s="15"/>
      <c r="K357" s="15"/>
    </row>
    <row r="358" ht="15.75" customHeight="1">
      <c r="C358" s="15"/>
      <c r="F358" s="15"/>
      <c r="G358" s="15"/>
      <c r="K358" s="15"/>
    </row>
    <row r="359" ht="15.75" customHeight="1">
      <c r="C359" s="15"/>
      <c r="F359" s="15"/>
      <c r="G359" s="15"/>
      <c r="K359" s="15"/>
    </row>
    <row r="360" ht="15.75" customHeight="1">
      <c r="C360" s="15"/>
      <c r="F360" s="15"/>
      <c r="G360" s="15"/>
      <c r="K360" s="15"/>
    </row>
    <row r="361" ht="15.75" customHeight="1">
      <c r="C361" s="15"/>
      <c r="F361" s="15"/>
      <c r="G361" s="15"/>
      <c r="K361" s="15"/>
    </row>
    <row r="362" ht="15.75" customHeight="1">
      <c r="C362" s="15"/>
      <c r="F362" s="15"/>
      <c r="G362" s="15"/>
      <c r="K362" s="15"/>
    </row>
    <row r="363" ht="15.75" customHeight="1">
      <c r="C363" s="15"/>
      <c r="F363" s="15"/>
      <c r="G363" s="15"/>
      <c r="K363" s="15"/>
    </row>
    <row r="364" ht="15.75" customHeight="1">
      <c r="C364" s="15"/>
      <c r="F364" s="15"/>
      <c r="G364" s="15"/>
      <c r="K364" s="15"/>
    </row>
    <row r="365" ht="15.75" customHeight="1">
      <c r="C365" s="15"/>
      <c r="F365" s="15"/>
      <c r="G365" s="15"/>
      <c r="K365" s="15"/>
    </row>
    <row r="366" ht="15.75" customHeight="1">
      <c r="C366" s="15"/>
      <c r="F366" s="15"/>
      <c r="G366" s="15"/>
      <c r="K366" s="15"/>
    </row>
    <row r="367" ht="15.75" customHeight="1">
      <c r="C367" s="15"/>
      <c r="F367" s="15"/>
      <c r="G367" s="15"/>
      <c r="K367" s="15"/>
    </row>
    <row r="368" ht="15.75" customHeight="1">
      <c r="C368" s="15"/>
      <c r="F368" s="15"/>
      <c r="G368" s="15"/>
      <c r="K368" s="15"/>
    </row>
    <row r="369" ht="15.75" customHeight="1">
      <c r="C369" s="15"/>
      <c r="F369" s="15"/>
      <c r="G369" s="15"/>
      <c r="K369" s="15"/>
    </row>
    <row r="370" ht="15.75" customHeight="1">
      <c r="C370" s="15"/>
      <c r="F370" s="15"/>
      <c r="G370" s="15"/>
      <c r="K370" s="15"/>
    </row>
    <row r="371" ht="15.75" customHeight="1">
      <c r="C371" s="15"/>
      <c r="F371" s="15"/>
      <c r="G371" s="15"/>
      <c r="K371" s="15"/>
    </row>
    <row r="372" ht="15.75" customHeight="1">
      <c r="C372" s="15"/>
      <c r="F372" s="15"/>
      <c r="G372" s="15"/>
      <c r="K372" s="15"/>
    </row>
    <row r="373" ht="15.75" customHeight="1">
      <c r="C373" s="15"/>
      <c r="F373" s="15"/>
      <c r="G373" s="15"/>
      <c r="K373" s="15"/>
    </row>
    <row r="374" ht="15.75" customHeight="1">
      <c r="C374" s="15"/>
      <c r="F374" s="15"/>
      <c r="G374" s="15"/>
      <c r="K374" s="15"/>
    </row>
    <row r="375" ht="15.75" customHeight="1">
      <c r="C375" s="15"/>
      <c r="F375" s="15"/>
      <c r="G375" s="15"/>
      <c r="K375" s="15"/>
    </row>
    <row r="376" ht="15.75" customHeight="1">
      <c r="C376" s="15"/>
      <c r="F376" s="15"/>
      <c r="G376" s="15"/>
      <c r="K376" s="15"/>
    </row>
    <row r="377" ht="15.75" customHeight="1">
      <c r="C377" s="15"/>
      <c r="F377" s="15"/>
      <c r="G377" s="15"/>
      <c r="K377" s="15"/>
    </row>
    <row r="378" ht="15.75" customHeight="1">
      <c r="C378" s="15"/>
      <c r="F378" s="15"/>
      <c r="G378" s="15"/>
      <c r="K378" s="15"/>
    </row>
    <row r="379" ht="15.75" customHeight="1">
      <c r="C379" s="15"/>
      <c r="F379" s="15"/>
      <c r="G379" s="15"/>
      <c r="K379" s="15"/>
    </row>
    <row r="380" ht="15.75" customHeight="1">
      <c r="C380" s="15"/>
      <c r="F380" s="15"/>
      <c r="G380" s="15"/>
      <c r="K380" s="15"/>
    </row>
    <row r="381" ht="15.75" customHeight="1">
      <c r="C381" s="15"/>
      <c r="F381" s="15"/>
      <c r="G381" s="15"/>
      <c r="K381" s="15"/>
    </row>
    <row r="382" ht="15.75" customHeight="1">
      <c r="C382" s="15"/>
      <c r="F382" s="15"/>
      <c r="G382" s="15"/>
      <c r="K382" s="15"/>
    </row>
    <row r="383" ht="15.75" customHeight="1">
      <c r="C383" s="15"/>
      <c r="F383" s="15"/>
      <c r="G383" s="15"/>
      <c r="K383" s="15"/>
    </row>
    <row r="384" ht="15.75" customHeight="1">
      <c r="C384" s="15"/>
      <c r="F384" s="15"/>
      <c r="G384" s="15"/>
      <c r="K384" s="15"/>
    </row>
    <row r="385" ht="15.75" customHeight="1">
      <c r="C385" s="15"/>
      <c r="F385" s="15"/>
      <c r="G385" s="15"/>
      <c r="K385" s="15"/>
    </row>
    <row r="386" ht="15.75" customHeight="1">
      <c r="C386" s="15"/>
      <c r="F386" s="15"/>
      <c r="G386" s="15"/>
      <c r="K386" s="15"/>
    </row>
    <row r="387" ht="15.75" customHeight="1">
      <c r="C387" s="15"/>
      <c r="F387" s="15"/>
      <c r="G387" s="15"/>
      <c r="K387" s="15"/>
    </row>
    <row r="388" ht="15.75" customHeight="1">
      <c r="C388" s="15"/>
      <c r="F388" s="15"/>
      <c r="G388" s="15"/>
      <c r="K388" s="15"/>
    </row>
    <row r="389" ht="15.75" customHeight="1">
      <c r="C389" s="15"/>
      <c r="F389" s="15"/>
      <c r="G389" s="15"/>
      <c r="K389" s="15"/>
    </row>
    <row r="390" ht="15.75" customHeight="1">
      <c r="C390" s="15"/>
      <c r="F390" s="15"/>
      <c r="G390" s="15"/>
      <c r="K390" s="15"/>
    </row>
    <row r="391" ht="15.75" customHeight="1">
      <c r="C391" s="15"/>
      <c r="F391" s="15"/>
      <c r="G391" s="15"/>
      <c r="K391" s="15"/>
    </row>
    <row r="392" ht="15.75" customHeight="1">
      <c r="C392" s="15"/>
      <c r="F392" s="15"/>
      <c r="G392" s="15"/>
      <c r="K392" s="15"/>
    </row>
    <row r="393" ht="15.75" customHeight="1">
      <c r="C393" s="15"/>
      <c r="F393" s="15"/>
      <c r="G393" s="15"/>
      <c r="K393" s="15"/>
    </row>
    <row r="394" ht="15.75" customHeight="1">
      <c r="C394" s="15"/>
      <c r="F394" s="15"/>
      <c r="G394" s="15"/>
      <c r="K394" s="15"/>
    </row>
    <row r="395" ht="15.75" customHeight="1">
      <c r="C395" s="15"/>
      <c r="F395" s="15"/>
      <c r="G395" s="15"/>
      <c r="K395" s="15"/>
    </row>
    <row r="396" ht="15.75" customHeight="1">
      <c r="C396" s="15"/>
      <c r="F396" s="15"/>
      <c r="G396" s="15"/>
      <c r="K396" s="15"/>
    </row>
    <row r="397" ht="15.75" customHeight="1">
      <c r="C397" s="15"/>
      <c r="F397" s="15"/>
      <c r="G397" s="15"/>
      <c r="K397" s="15"/>
    </row>
    <row r="398" ht="15.75" customHeight="1">
      <c r="C398" s="15"/>
      <c r="F398" s="15"/>
      <c r="G398" s="15"/>
      <c r="K398" s="15"/>
    </row>
    <row r="399" ht="15.75" customHeight="1">
      <c r="C399" s="15"/>
      <c r="F399" s="15"/>
      <c r="G399" s="15"/>
      <c r="K399" s="15"/>
    </row>
    <row r="400" ht="15.75" customHeight="1">
      <c r="C400" s="15"/>
      <c r="F400" s="15"/>
      <c r="G400" s="15"/>
      <c r="K400" s="15"/>
    </row>
    <row r="401" ht="15.75" customHeight="1">
      <c r="C401" s="15"/>
      <c r="F401" s="15"/>
      <c r="G401" s="15"/>
      <c r="K401" s="15"/>
    </row>
    <row r="402" ht="15.75" customHeight="1">
      <c r="C402" s="15"/>
      <c r="F402" s="15"/>
      <c r="G402" s="15"/>
      <c r="K402" s="15"/>
    </row>
    <row r="403" ht="15.75" customHeight="1">
      <c r="C403" s="15"/>
      <c r="F403" s="15"/>
      <c r="G403" s="15"/>
      <c r="K403" s="15"/>
    </row>
    <row r="404" ht="15.75" customHeight="1">
      <c r="C404" s="15"/>
      <c r="F404" s="15"/>
      <c r="G404" s="15"/>
      <c r="K404" s="15"/>
    </row>
    <row r="405" ht="15.75" customHeight="1">
      <c r="C405" s="15"/>
      <c r="F405" s="15"/>
      <c r="G405" s="15"/>
      <c r="K405" s="15"/>
    </row>
    <row r="406" ht="15.75" customHeight="1">
      <c r="C406" s="15"/>
      <c r="F406" s="15"/>
      <c r="G406" s="15"/>
      <c r="K406" s="15"/>
    </row>
    <row r="407" ht="15.75" customHeight="1">
      <c r="C407" s="15"/>
      <c r="F407" s="15"/>
      <c r="G407" s="15"/>
      <c r="K407" s="15"/>
    </row>
    <row r="408" ht="15.75" customHeight="1">
      <c r="C408" s="15"/>
      <c r="F408" s="15"/>
      <c r="G408" s="15"/>
      <c r="K408" s="15"/>
    </row>
    <row r="409" ht="15.75" customHeight="1">
      <c r="C409" s="15"/>
      <c r="F409" s="15"/>
      <c r="G409" s="15"/>
      <c r="K409" s="15"/>
    </row>
    <row r="410" ht="15.75" customHeight="1">
      <c r="C410" s="15"/>
      <c r="F410" s="15"/>
      <c r="G410" s="15"/>
      <c r="K410" s="15"/>
    </row>
    <row r="411" ht="15.75" customHeight="1">
      <c r="C411" s="15"/>
      <c r="F411" s="15"/>
      <c r="G411" s="15"/>
      <c r="K411" s="15"/>
    </row>
    <row r="412" ht="15.75" customHeight="1">
      <c r="C412" s="15"/>
      <c r="F412" s="15"/>
      <c r="G412" s="15"/>
      <c r="K412" s="15"/>
    </row>
    <row r="413" ht="15.75" customHeight="1">
      <c r="C413" s="15"/>
      <c r="F413" s="15"/>
      <c r="G413" s="15"/>
      <c r="K413" s="15"/>
    </row>
    <row r="414" ht="15.75" customHeight="1">
      <c r="C414" s="15"/>
      <c r="F414" s="15"/>
      <c r="G414" s="15"/>
      <c r="K414" s="15"/>
    </row>
    <row r="415" ht="15.75" customHeight="1">
      <c r="C415" s="15"/>
      <c r="F415" s="15"/>
      <c r="G415" s="15"/>
      <c r="K415" s="15"/>
    </row>
    <row r="416" ht="15.75" customHeight="1">
      <c r="C416" s="15"/>
      <c r="F416" s="15"/>
      <c r="G416" s="15"/>
      <c r="K416" s="15"/>
    </row>
    <row r="417" ht="15.75" customHeight="1">
      <c r="C417" s="15"/>
      <c r="F417" s="15"/>
      <c r="G417" s="15"/>
      <c r="K417" s="15"/>
    </row>
    <row r="418" ht="15.75" customHeight="1">
      <c r="C418" s="15"/>
      <c r="F418" s="15"/>
      <c r="G418" s="15"/>
      <c r="K418" s="15"/>
    </row>
    <row r="419" ht="15.75" customHeight="1">
      <c r="C419" s="15"/>
      <c r="F419" s="15"/>
      <c r="G419" s="15"/>
      <c r="K419" s="15"/>
    </row>
    <row r="420" ht="15.75" customHeight="1">
      <c r="C420" s="15"/>
      <c r="F420" s="15"/>
      <c r="G420" s="15"/>
      <c r="K420" s="15"/>
    </row>
    <row r="421" ht="15.75" customHeight="1">
      <c r="C421" s="15"/>
      <c r="F421" s="15"/>
      <c r="G421" s="15"/>
      <c r="K421" s="15"/>
    </row>
    <row r="422" ht="15.75" customHeight="1">
      <c r="C422" s="15"/>
      <c r="F422" s="15"/>
      <c r="G422" s="15"/>
      <c r="K422" s="15"/>
    </row>
    <row r="423" ht="15.75" customHeight="1">
      <c r="C423" s="15"/>
      <c r="F423" s="15"/>
      <c r="G423" s="15"/>
      <c r="K423" s="15"/>
    </row>
    <row r="424" ht="15.75" customHeight="1">
      <c r="C424" s="15"/>
      <c r="F424" s="15"/>
      <c r="G424" s="15"/>
      <c r="K424" s="15"/>
    </row>
    <row r="425" ht="15.75" customHeight="1">
      <c r="C425" s="15"/>
      <c r="F425" s="15"/>
      <c r="G425" s="15"/>
      <c r="K425" s="15"/>
    </row>
    <row r="426" ht="15.75" customHeight="1">
      <c r="C426" s="15"/>
      <c r="F426" s="15"/>
      <c r="G426" s="15"/>
      <c r="K426" s="15"/>
    </row>
    <row r="427" ht="15.75" customHeight="1">
      <c r="C427" s="15"/>
      <c r="F427" s="15"/>
      <c r="G427" s="15"/>
      <c r="K427" s="15"/>
    </row>
    <row r="428" ht="15.75" customHeight="1">
      <c r="C428" s="15"/>
      <c r="F428" s="15"/>
      <c r="G428" s="15"/>
      <c r="K428" s="15"/>
    </row>
    <row r="429" ht="15.75" customHeight="1">
      <c r="C429" s="15"/>
      <c r="F429" s="15"/>
      <c r="G429" s="15"/>
      <c r="K429" s="15"/>
    </row>
    <row r="430" ht="15.75" customHeight="1">
      <c r="C430" s="15"/>
      <c r="F430" s="15"/>
      <c r="G430" s="15"/>
      <c r="K430" s="15"/>
    </row>
    <row r="431" ht="15.75" customHeight="1">
      <c r="C431" s="15"/>
      <c r="F431" s="15"/>
      <c r="G431" s="15"/>
      <c r="K431" s="15"/>
    </row>
    <row r="432" ht="15.75" customHeight="1">
      <c r="C432" s="15"/>
      <c r="F432" s="15"/>
      <c r="G432" s="15"/>
      <c r="K432" s="15"/>
    </row>
    <row r="433" ht="15.75" customHeight="1">
      <c r="C433" s="15"/>
      <c r="F433" s="15"/>
      <c r="G433" s="15"/>
      <c r="K433" s="15"/>
    </row>
    <row r="434" ht="15.75" customHeight="1">
      <c r="C434" s="15"/>
      <c r="F434" s="15"/>
      <c r="G434" s="15"/>
      <c r="K434" s="15"/>
    </row>
    <row r="435" ht="15.75" customHeight="1">
      <c r="C435" s="15"/>
      <c r="F435" s="15"/>
      <c r="G435" s="15"/>
      <c r="K435" s="15"/>
    </row>
    <row r="436" ht="15.75" customHeight="1">
      <c r="C436" s="15"/>
      <c r="F436" s="15"/>
      <c r="G436" s="15"/>
      <c r="K436" s="15"/>
    </row>
    <row r="437" ht="15.75" customHeight="1">
      <c r="C437" s="15"/>
      <c r="F437" s="15"/>
      <c r="G437" s="15"/>
      <c r="K437" s="15"/>
    </row>
    <row r="438" ht="15.75" customHeight="1">
      <c r="C438" s="15"/>
      <c r="F438" s="15"/>
      <c r="G438" s="15"/>
      <c r="K438" s="15"/>
    </row>
    <row r="439" ht="15.75" customHeight="1">
      <c r="C439" s="15"/>
      <c r="F439" s="15"/>
      <c r="G439" s="15"/>
      <c r="K439" s="15"/>
    </row>
    <row r="440" ht="15.75" customHeight="1">
      <c r="C440" s="15"/>
      <c r="F440" s="15"/>
      <c r="G440" s="15"/>
      <c r="K440" s="15"/>
    </row>
    <row r="441" ht="15.75" customHeight="1">
      <c r="C441" s="15"/>
      <c r="F441" s="15"/>
      <c r="G441" s="15"/>
      <c r="K441" s="15"/>
    </row>
    <row r="442" ht="15.75" customHeight="1">
      <c r="C442" s="15"/>
      <c r="F442" s="15"/>
      <c r="G442" s="15"/>
      <c r="K442" s="15"/>
    </row>
    <row r="443" ht="15.75" customHeight="1">
      <c r="C443" s="15"/>
      <c r="F443" s="15"/>
      <c r="G443" s="15"/>
      <c r="K443" s="15"/>
    </row>
    <row r="444" ht="15.75" customHeight="1">
      <c r="C444" s="15"/>
      <c r="F444" s="15"/>
      <c r="G444" s="15"/>
      <c r="K444" s="15"/>
    </row>
    <row r="445" ht="15.75" customHeight="1">
      <c r="C445" s="15"/>
      <c r="F445" s="15"/>
      <c r="G445" s="15"/>
      <c r="K445" s="15"/>
    </row>
    <row r="446" ht="15.75" customHeight="1">
      <c r="C446" s="15"/>
      <c r="F446" s="15"/>
      <c r="G446" s="15"/>
      <c r="K446" s="15"/>
    </row>
    <row r="447" ht="15.75" customHeight="1">
      <c r="C447" s="15"/>
      <c r="F447" s="15"/>
      <c r="G447" s="15"/>
      <c r="K447" s="15"/>
    </row>
    <row r="448" ht="15.75" customHeight="1">
      <c r="C448" s="15"/>
      <c r="F448" s="15"/>
      <c r="G448" s="15"/>
      <c r="K448" s="15"/>
    </row>
    <row r="449" ht="15.75" customHeight="1">
      <c r="C449" s="15"/>
      <c r="F449" s="15"/>
      <c r="G449" s="15"/>
      <c r="K449" s="15"/>
    </row>
    <row r="450" ht="15.75" customHeight="1">
      <c r="C450" s="15"/>
      <c r="F450" s="15"/>
      <c r="G450" s="15"/>
      <c r="K450" s="15"/>
    </row>
    <row r="451" ht="15.75" customHeight="1">
      <c r="C451" s="15"/>
      <c r="F451" s="15"/>
      <c r="G451" s="15"/>
      <c r="K451" s="15"/>
    </row>
    <row r="452" ht="15.75" customHeight="1">
      <c r="C452" s="15"/>
      <c r="F452" s="15"/>
      <c r="G452" s="15"/>
      <c r="K452" s="15"/>
    </row>
    <row r="453" ht="15.75" customHeight="1">
      <c r="C453" s="15"/>
      <c r="F453" s="15"/>
      <c r="G453" s="15"/>
      <c r="K453" s="15"/>
    </row>
    <row r="454" ht="15.75" customHeight="1">
      <c r="C454" s="15"/>
      <c r="F454" s="15"/>
      <c r="G454" s="15"/>
      <c r="K454" s="15"/>
    </row>
    <row r="455" ht="15.75" customHeight="1">
      <c r="C455" s="15"/>
      <c r="F455" s="15"/>
      <c r="G455" s="15"/>
      <c r="K455" s="15"/>
    </row>
    <row r="456" ht="15.75" customHeight="1">
      <c r="C456" s="15"/>
      <c r="F456" s="15"/>
      <c r="G456" s="15"/>
      <c r="K456" s="15"/>
    </row>
    <row r="457" ht="15.75" customHeight="1">
      <c r="C457" s="15"/>
      <c r="F457" s="15"/>
      <c r="G457" s="15"/>
      <c r="K457" s="15"/>
    </row>
    <row r="458" ht="15.75" customHeight="1">
      <c r="C458" s="15"/>
      <c r="F458" s="15"/>
      <c r="G458" s="15"/>
      <c r="K458" s="15"/>
    </row>
    <row r="459" ht="15.75" customHeight="1">
      <c r="C459" s="15"/>
      <c r="F459" s="15"/>
      <c r="G459" s="15"/>
      <c r="K459" s="15"/>
    </row>
    <row r="460" ht="15.75" customHeight="1">
      <c r="C460" s="15"/>
      <c r="F460" s="15"/>
      <c r="G460" s="15"/>
      <c r="K460" s="15"/>
    </row>
    <row r="461" ht="15.75" customHeight="1">
      <c r="C461" s="15"/>
      <c r="F461" s="15"/>
      <c r="G461" s="15"/>
      <c r="K461" s="15"/>
    </row>
    <row r="462" ht="15.75" customHeight="1">
      <c r="C462" s="15"/>
      <c r="F462" s="15"/>
      <c r="G462" s="15"/>
      <c r="K462" s="15"/>
    </row>
    <row r="463" ht="15.75" customHeight="1">
      <c r="C463" s="15"/>
      <c r="F463" s="15"/>
      <c r="G463" s="15"/>
      <c r="K463" s="15"/>
    </row>
    <row r="464" ht="15.75" customHeight="1">
      <c r="C464" s="15"/>
      <c r="F464" s="15"/>
      <c r="G464" s="15"/>
      <c r="K464" s="15"/>
    </row>
    <row r="465" ht="15.75" customHeight="1">
      <c r="C465" s="15"/>
      <c r="F465" s="15"/>
      <c r="G465" s="15"/>
      <c r="K465" s="15"/>
    </row>
    <row r="466" ht="15.75" customHeight="1">
      <c r="C466" s="15"/>
      <c r="F466" s="15"/>
      <c r="G466" s="15"/>
      <c r="K466" s="15"/>
    </row>
    <row r="467" ht="15.75" customHeight="1">
      <c r="C467" s="15"/>
      <c r="F467" s="15"/>
      <c r="G467" s="15"/>
      <c r="K467" s="15"/>
    </row>
    <row r="468" ht="15.75" customHeight="1">
      <c r="C468" s="15"/>
      <c r="F468" s="15"/>
      <c r="G468" s="15"/>
      <c r="K468" s="15"/>
    </row>
    <row r="469" ht="15.75" customHeight="1">
      <c r="C469" s="15"/>
      <c r="F469" s="15"/>
      <c r="G469" s="15"/>
      <c r="K469" s="15"/>
    </row>
    <row r="470" ht="15.75" customHeight="1">
      <c r="C470" s="15"/>
      <c r="F470" s="15"/>
      <c r="G470" s="15"/>
      <c r="K470" s="15"/>
    </row>
    <row r="471" ht="15.75" customHeight="1">
      <c r="C471" s="15"/>
      <c r="F471" s="15"/>
      <c r="G471" s="15"/>
      <c r="K471" s="15"/>
    </row>
    <row r="472" ht="15.75" customHeight="1">
      <c r="C472" s="15"/>
      <c r="F472" s="15"/>
      <c r="G472" s="15"/>
      <c r="K472" s="15"/>
    </row>
    <row r="473" ht="15.75" customHeight="1">
      <c r="C473" s="15"/>
      <c r="F473" s="15"/>
      <c r="G473" s="15"/>
      <c r="K473" s="15"/>
    </row>
    <row r="474" ht="15.75" customHeight="1">
      <c r="C474" s="15"/>
      <c r="F474" s="15"/>
      <c r="G474" s="15"/>
      <c r="K474" s="15"/>
    </row>
    <row r="475" ht="15.75" customHeight="1">
      <c r="C475" s="15"/>
      <c r="F475" s="15"/>
      <c r="G475" s="15"/>
      <c r="K475" s="15"/>
    </row>
    <row r="476" ht="15.75" customHeight="1">
      <c r="C476" s="15"/>
      <c r="F476" s="15"/>
      <c r="G476" s="15"/>
      <c r="K476" s="15"/>
    </row>
    <row r="477" ht="15.75" customHeight="1">
      <c r="C477" s="15"/>
      <c r="F477" s="15"/>
      <c r="G477" s="15"/>
      <c r="K477" s="15"/>
    </row>
    <row r="478" ht="15.75" customHeight="1">
      <c r="C478" s="15"/>
      <c r="F478" s="15"/>
      <c r="G478" s="15"/>
      <c r="K478" s="15"/>
    </row>
    <row r="479" ht="15.75" customHeight="1">
      <c r="C479" s="15"/>
      <c r="F479" s="15"/>
      <c r="G479" s="15"/>
      <c r="K479" s="15"/>
    </row>
    <row r="480" ht="15.75" customHeight="1">
      <c r="C480" s="15"/>
      <c r="F480" s="15"/>
      <c r="G480" s="15"/>
      <c r="K480" s="15"/>
    </row>
    <row r="481" ht="15.75" customHeight="1">
      <c r="C481" s="15"/>
      <c r="F481" s="15"/>
      <c r="G481" s="15"/>
      <c r="K481" s="15"/>
    </row>
    <row r="482" ht="15.75" customHeight="1">
      <c r="C482" s="15"/>
      <c r="F482" s="15"/>
      <c r="G482" s="15"/>
      <c r="K482" s="15"/>
    </row>
    <row r="483" ht="15.75" customHeight="1">
      <c r="C483" s="15"/>
      <c r="F483" s="15"/>
      <c r="G483" s="15"/>
      <c r="K483" s="15"/>
    </row>
    <row r="484" ht="15.75" customHeight="1">
      <c r="C484" s="15"/>
      <c r="F484" s="15"/>
      <c r="G484" s="15"/>
      <c r="K484" s="15"/>
    </row>
    <row r="485" ht="15.75" customHeight="1">
      <c r="C485" s="15"/>
      <c r="F485" s="15"/>
      <c r="G485" s="15"/>
      <c r="K485" s="15"/>
    </row>
    <row r="486" ht="15.75" customHeight="1">
      <c r="C486" s="15"/>
      <c r="F486" s="15"/>
      <c r="G486" s="15"/>
      <c r="K486" s="15"/>
    </row>
    <row r="487" ht="15.75" customHeight="1">
      <c r="C487" s="15"/>
      <c r="F487" s="15"/>
      <c r="G487" s="15"/>
      <c r="K487" s="15"/>
    </row>
    <row r="488" ht="15.75" customHeight="1">
      <c r="C488" s="15"/>
      <c r="F488" s="15"/>
      <c r="G488" s="15"/>
      <c r="K488" s="15"/>
    </row>
    <row r="489" ht="15.75" customHeight="1">
      <c r="C489" s="15"/>
      <c r="F489" s="15"/>
      <c r="G489" s="15"/>
      <c r="K489" s="15"/>
    </row>
    <row r="490" ht="15.75" customHeight="1">
      <c r="C490" s="15"/>
      <c r="F490" s="15"/>
      <c r="G490" s="15"/>
      <c r="K490" s="15"/>
    </row>
    <row r="491" ht="15.75" customHeight="1">
      <c r="C491" s="15"/>
      <c r="F491" s="15"/>
      <c r="G491" s="15"/>
      <c r="K491" s="15"/>
    </row>
    <row r="492" ht="15.75" customHeight="1">
      <c r="C492" s="15"/>
      <c r="F492" s="15"/>
      <c r="G492" s="15"/>
      <c r="K492" s="15"/>
    </row>
    <row r="493" ht="15.75" customHeight="1">
      <c r="C493" s="15"/>
      <c r="F493" s="15"/>
      <c r="G493" s="15"/>
      <c r="K493" s="15"/>
    </row>
    <row r="494" ht="15.75" customHeight="1">
      <c r="C494" s="15"/>
      <c r="F494" s="15"/>
      <c r="G494" s="15"/>
      <c r="K494" s="15"/>
    </row>
    <row r="495" ht="15.75" customHeight="1">
      <c r="C495" s="15"/>
      <c r="F495" s="15"/>
      <c r="G495" s="15"/>
      <c r="K495" s="15"/>
    </row>
    <row r="496" ht="15.75" customHeight="1">
      <c r="C496" s="15"/>
      <c r="F496" s="15"/>
      <c r="G496" s="15"/>
      <c r="K496" s="15"/>
    </row>
    <row r="497" ht="15.75" customHeight="1">
      <c r="C497" s="15"/>
      <c r="F497" s="15"/>
      <c r="G497" s="15"/>
      <c r="K497" s="15"/>
    </row>
    <row r="498" ht="15.75" customHeight="1">
      <c r="C498" s="15"/>
      <c r="F498" s="15"/>
      <c r="G498" s="15"/>
      <c r="K498" s="15"/>
    </row>
    <row r="499" ht="15.75" customHeight="1">
      <c r="C499" s="15"/>
      <c r="F499" s="15"/>
      <c r="G499" s="15"/>
      <c r="K499" s="15"/>
    </row>
    <row r="500" ht="15.75" customHeight="1">
      <c r="C500" s="15"/>
      <c r="F500" s="15"/>
      <c r="G500" s="15"/>
      <c r="K500" s="15"/>
    </row>
    <row r="501" ht="15.75" customHeight="1">
      <c r="C501" s="15"/>
      <c r="F501" s="15"/>
      <c r="G501" s="15"/>
      <c r="K501" s="15"/>
    </row>
    <row r="502" ht="15.75" customHeight="1">
      <c r="C502" s="15"/>
      <c r="F502" s="15"/>
      <c r="G502" s="15"/>
      <c r="K502" s="15"/>
    </row>
    <row r="503" ht="15.75" customHeight="1">
      <c r="C503" s="15"/>
      <c r="F503" s="15"/>
      <c r="G503" s="15"/>
      <c r="K503" s="15"/>
    </row>
    <row r="504" ht="15.75" customHeight="1">
      <c r="C504" s="15"/>
      <c r="F504" s="15"/>
      <c r="G504" s="15"/>
      <c r="K504" s="15"/>
    </row>
    <row r="505" ht="15.75" customHeight="1">
      <c r="C505" s="15"/>
      <c r="F505" s="15"/>
      <c r="G505" s="15"/>
      <c r="K505" s="15"/>
    </row>
    <row r="506" ht="15.75" customHeight="1">
      <c r="C506" s="15"/>
      <c r="F506" s="15"/>
      <c r="G506" s="15"/>
      <c r="K506" s="15"/>
    </row>
    <row r="507" ht="15.75" customHeight="1">
      <c r="C507" s="15"/>
      <c r="F507" s="15"/>
      <c r="G507" s="15"/>
      <c r="K507" s="15"/>
    </row>
    <row r="508" ht="15.75" customHeight="1">
      <c r="C508" s="15"/>
      <c r="F508" s="15"/>
      <c r="G508" s="15"/>
      <c r="K508" s="15"/>
    </row>
    <row r="509" ht="15.75" customHeight="1">
      <c r="C509" s="15"/>
      <c r="F509" s="15"/>
      <c r="G509" s="15"/>
      <c r="K509" s="15"/>
    </row>
    <row r="510" ht="15.75" customHeight="1">
      <c r="C510" s="15"/>
      <c r="F510" s="15"/>
      <c r="G510" s="15"/>
      <c r="K510" s="15"/>
    </row>
    <row r="511" ht="15.75" customHeight="1">
      <c r="C511" s="15"/>
      <c r="F511" s="15"/>
      <c r="G511" s="15"/>
      <c r="K511" s="15"/>
    </row>
    <row r="512" ht="15.75" customHeight="1">
      <c r="C512" s="15"/>
      <c r="F512" s="15"/>
      <c r="G512" s="15"/>
      <c r="K512" s="15"/>
    </row>
    <row r="513" ht="15.75" customHeight="1">
      <c r="C513" s="15"/>
      <c r="F513" s="15"/>
      <c r="G513" s="15"/>
      <c r="K513" s="15"/>
    </row>
    <row r="514" ht="15.75" customHeight="1">
      <c r="C514" s="15"/>
      <c r="F514" s="15"/>
      <c r="G514" s="15"/>
      <c r="K514" s="15"/>
    </row>
    <row r="515" ht="15.75" customHeight="1">
      <c r="C515" s="15"/>
      <c r="F515" s="15"/>
      <c r="G515" s="15"/>
      <c r="K515" s="15"/>
    </row>
    <row r="516" ht="15.75" customHeight="1">
      <c r="C516" s="15"/>
      <c r="F516" s="15"/>
      <c r="G516" s="15"/>
      <c r="K516" s="15"/>
    </row>
    <row r="517" ht="15.75" customHeight="1">
      <c r="C517" s="15"/>
      <c r="F517" s="15"/>
      <c r="G517" s="15"/>
      <c r="K517" s="15"/>
    </row>
    <row r="518" ht="15.75" customHeight="1">
      <c r="C518" s="15"/>
      <c r="F518" s="15"/>
      <c r="G518" s="15"/>
      <c r="K518" s="15"/>
    </row>
    <row r="519" ht="15.75" customHeight="1">
      <c r="C519" s="15"/>
      <c r="F519" s="15"/>
      <c r="G519" s="15"/>
      <c r="K519" s="15"/>
    </row>
    <row r="520" ht="15.75" customHeight="1">
      <c r="C520" s="15"/>
      <c r="F520" s="15"/>
      <c r="G520" s="15"/>
      <c r="K520" s="15"/>
    </row>
    <row r="521" ht="15.75" customHeight="1">
      <c r="C521" s="15"/>
      <c r="F521" s="15"/>
      <c r="G521" s="15"/>
      <c r="K521" s="15"/>
    </row>
    <row r="522" ht="15.75" customHeight="1">
      <c r="C522" s="15"/>
      <c r="F522" s="15"/>
      <c r="G522" s="15"/>
      <c r="K522" s="15"/>
    </row>
    <row r="523" ht="15.75" customHeight="1">
      <c r="C523" s="15"/>
      <c r="F523" s="15"/>
      <c r="G523" s="15"/>
      <c r="K523" s="15"/>
    </row>
    <row r="524" ht="15.75" customHeight="1">
      <c r="C524" s="15"/>
      <c r="F524" s="15"/>
      <c r="G524" s="15"/>
      <c r="K524" s="15"/>
    </row>
    <row r="525" ht="15.75" customHeight="1">
      <c r="C525" s="15"/>
      <c r="F525" s="15"/>
      <c r="G525" s="15"/>
      <c r="K525" s="15"/>
    </row>
    <row r="526" ht="15.75" customHeight="1">
      <c r="C526" s="15"/>
      <c r="F526" s="15"/>
      <c r="G526" s="15"/>
      <c r="K526" s="15"/>
    </row>
    <row r="527" ht="15.75" customHeight="1">
      <c r="C527" s="15"/>
      <c r="F527" s="15"/>
      <c r="G527" s="15"/>
      <c r="K527" s="15"/>
    </row>
    <row r="528" ht="15.75" customHeight="1">
      <c r="C528" s="15"/>
      <c r="F528" s="15"/>
      <c r="G528" s="15"/>
      <c r="K528" s="15"/>
    </row>
    <row r="529" ht="15.75" customHeight="1">
      <c r="C529" s="15"/>
      <c r="F529" s="15"/>
      <c r="G529" s="15"/>
      <c r="K529" s="15"/>
    </row>
    <row r="530" ht="15.75" customHeight="1">
      <c r="C530" s="15"/>
      <c r="F530" s="15"/>
      <c r="G530" s="15"/>
      <c r="K530" s="15"/>
    </row>
    <row r="531" ht="15.75" customHeight="1">
      <c r="C531" s="15"/>
      <c r="F531" s="15"/>
      <c r="G531" s="15"/>
      <c r="K531" s="15"/>
    </row>
    <row r="532" ht="15.75" customHeight="1">
      <c r="C532" s="15"/>
      <c r="F532" s="15"/>
      <c r="G532" s="15"/>
      <c r="K532" s="15"/>
    </row>
    <row r="533" ht="15.75" customHeight="1">
      <c r="C533" s="15"/>
      <c r="F533" s="15"/>
      <c r="G533" s="15"/>
      <c r="K533" s="15"/>
    </row>
    <row r="534" ht="15.75" customHeight="1">
      <c r="C534" s="15"/>
      <c r="F534" s="15"/>
      <c r="G534" s="15"/>
      <c r="K534" s="15"/>
    </row>
    <row r="535" ht="15.75" customHeight="1">
      <c r="C535" s="15"/>
      <c r="F535" s="15"/>
      <c r="G535" s="15"/>
      <c r="K535" s="15"/>
    </row>
    <row r="536" ht="15.75" customHeight="1">
      <c r="C536" s="15"/>
      <c r="F536" s="15"/>
      <c r="G536" s="15"/>
      <c r="K536" s="15"/>
    </row>
    <row r="537" ht="15.75" customHeight="1">
      <c r="C537" s="15"/>
      <c r="F537" s="15"/>
      <c r="G537" s="15"/>
      <c r="K537" s="15"/>
    </row>
    <row r="538" ht="15.75" customHeight="1">
      <c r="C538" s="15"/>
      <c r="F538" s="15"/>
      <c r="G538" s="15"/>
      <c r="K538" s="15"/>
    </row>
    <row r="539" ht="15.75" customHeight="1">
      <c r="C539" s="15"/>
      <c r="F539" s="15"/>
      <c r="G539" s="15"/>
      <c r="K539" s="15"/>
    </row>
    <row r="540" ht="15.75" customHeight="1">
      <c r="C540" s="15"/>
      <c r="F540" s="15"/>
      <c r="G540" s="15"/>
      <c r="K540" s="15"/>
    </row>
    <row r="541" ht="15.75" customHeight="1">
      <c r="C541" s="15"/>
      <c r="F541" s="15"/>
      <c r="G541" s="15"/>
      <c r="K541" s="15"/>
    </row>
    <row r="542" ht="15.75" customHeight="1">
      <c r="C542" s="15"/>
      <c r="F542" s="15"/>
      <c r="G542" s="15"/>
      <c r="K542" s="15"/>
    </row>
    <row r="543" ht="15.75" customHeight="1">
      <c r="C543" s="15"/>
      <c r="F543" s="15"/>
      <c r="G543" s="15"/>
      <c r="K543" s="15"/>
    </row>
    <row r="544" ht="15.75" customHeight="1">
      <c r="C544" s="15"/>
      <c r="F544" s="15"/>
      <c r="G544" s="15"/>
      <c r="K544" s="15"/>
    </row>
    <row r="545" ht="15.75" customHeight="1">
      <c r="C545" s="15"/>
      <c r="F545" s="15"/>
      <c r="G545" s="15"/>
      <c r="K545" s="15"/>
    </row>
    <row r="546" ht="15.75" customHeight="1">
      <c r="C546" s="15"/>
      <c r="F546" s="15"/>
      <c r="G546" s="15"/>
      <c r="K546" s="15"/>
    </row>
    <row r="547" ht="15.75" customHeight="1">
      <c r="C547" s="15"/>
      <c r="F547" s="15"/>
      <c r="G547" s="15"/>
      <c r="K547" s="15"/>
    </row>
    <row r="548" ht="15.75" customHeight="1">
      <c r="C548" s="15"/>
      <c r="F548" s="15"/>
      <c r="G548" s="15"/>
      <c r="K548" s="15"/>
    </row>
    <row r="549" ht="15.75" customHeight="1">
      <c r="C549" s="15"/>
      <c r="F549" s="15"/>
      <c r="G549" s="15"/>
      <c r="K549" s="15"/>
    </row>
    <row r="550" ht="15.75" customHeight="1">
      <c r="C550" s="15"/>
      <c r="F550" s="15"/>
      <c r="G550" s="15"/>
      <c r="K550" s="15"/>
    </row>
    <row r="551" ht="15.75" customHeight="1">
      <c r="C551" s="15"/>
      <c r="F551" s="15"/>
      <c r="G551" s="15"/>
      <c r="K551" s="15"/>
    </row>
    <row r="552" ht="15.75" customHeight="1">
      <c r="C552" s="15"/>
      <c r="F552" s="15"/>
      <c r="G552" s="15"/>
      <c r="K552" s="15"/>
    </row>
    <row r="553" ht="15.75" customHeight="1">
      <c r="C553" s="15"/>
      <c r="F553" s="15"/>
      <c r="G553" s="15"/>
      <c r="K553" s="15"/>
    </row>
    <row r="554" ht="15.75" customHeight="1">
      <c r="C554" s="15"/>
      <c r="F554" s="15"/>
      <c r="G554" s="15"/>
      <c r="K554" s="15"/>
    </row>
    <row r="555" ht="15.75" customHeight="1">
      <c r="C555" s="15"/>
      <c r="F555" s="15"/>
      <c r="G555" s="15"/>
      <c r="K555" s="15"/>
    </row>
    <row r="556" ht="15.75" customHeight="1">
      <c r="C556" s="15"/>
      <c r="F556" s="15"/>
      <c r="G556" s="15"/>
      <c r="K556" s="15"/>
    </row>
    <row r="557" ht="15.75" customHeight="1">
      <c r="C557" s="15"/>
      <c r="F557" s="15"/>
      <c r="G557" s="15"/>
      <c r="K557" s="15"/>
    </row>
    <row r="558" ht="15.75" customHeight="1">
      <c r="C558" s="15"/>
      <c r="F558" s="15"/>
      <c r="G558" s="15"/>
      <c r="K558" s="15"/>
    </row>
    <row r="559" ht="15.75" customHeight="1">
      <c r="C559" s="15"/>
      <c r="F559" s="15"/>
      <c r="G559" s="15"/>
      <c r="K559" s="15"/>
    </row>
    <row r="560" ht="15.75" customHeight="1">
      <c r="C560" s="15"/>
      <c r="F560" s="15"/>
      <c r="G560" s="15"/>
      <c r="K560" s="15"/>
    </row>
    <row r="561" ht="15.75" customHeight="1">
      <c r="C561" s="15"/>
      <c r="F561" s="15"/>
      <c r="G561" s="15"/>
      <c r="K561" s="15"/>
    </row>
    <row r="562" ht="15.75" customHeight="1">
      <c r="C562" s="15"/>
      <c r="F562" s="15"/>
      <c r="G562" s="15"/>
      <c r="K562" s="15"/>
    </row>
    <row r="563" ht="15.75" customHeight="1">
      <c r="C563" s="15"/>
      <c r="F563" s="15"/>
      <c r="G563" s="15"/>
      <c r="K563" s="15"/>
    </row>
    <row r="564" ht="15.75" customHeight="1">
      <c r="C564" s="15"/>
      <c r="F564" s="15"/>
      <c r="G564" s="15"/>
      <c r="K564" s="15"/>
    </row>
    <row r="565" ht="15.75" customHeight="1">
      <c r="C565" s="15"/>
      <c r="F565" s="15"/>
      <c r="G565" s="15"/>
      <c r="K565" s="15"/>
    </row>
    <row r="566" ht="15.75" customHeight="1">
      <c r="C566" s="15"/>
      <c r="F566" s="15"/>
      <c r="G566" s="15"/>
      <c r="K566" s="15"/>
    </row>
    <row r="567" ht="15.75" customHeight="1">
      <c r="C567" s="15"/>
      <c r="F567" s="15"/>
      <c r="G567" s="15"/>
      <c r="K567" s="15"/>
    </row>
    <row r="568" ht="15.75" customHeight="1">
      <c r="C568" s="15"/>
      <c r="F568" s="15"/>
      <c r="G568" s="15"/>
      <c r="K568" s="15"/>
    </row>
    <row r="569" ht="15.75" customHeight="1">
      <c r="C569" s="15"/>
      <c r="F569" s="15"/>
      <c r="G569" s="15"/>
      <c r="K569" s="15"/>
    </row>
    <row r="570" ht="15.75" customHeight="1">
      <c r="C570" s="15"/>
      <c r="F570" s="15"/>
      <c r="G570" s="15"/>
      <c r="K570" s="15"/>
    </row>
    <row r="571" ht="15.75" customHeight="1">
      <c r="C571" s="15"/>
      <c r="F571" s="15"/>
      <c r="G571" s="15"/>
      <c r="K571" s="15"/>
    </row>
    <row r="572" ht="15.75" customHeight="1">
      <c r="C572" s="15"/>
      <c r="F572" s="15"/>
      <c r="G572" s="15"/>
      <c r="K572" s="15"/>
    </row>
    <row r="573" ht="15.75" customHeight="1">
      <c r="C573" s="15"/>
      <c r="F573" s="15"/>
      <c r="G573" s="15"/>
      <c r="K573" s="15"/>
    </row>
    <row r="574" ht="15.75" customHeight="1">
      <c r="C574" s="15"/>
      <c r="F574" s="15"/>
      <c r="G574" s="15"/>
      <c r="K574" s="15"/>
    </row>
    <row r="575" ht="15.75" customHeight="1">
      <c r="C575" s="15"/>
      <c r="F575" s="15"/>
      <c r="G575" s="15"/>
      <c r="K575" s="15"/>
    </row>
    <row r="576" ht="15.75" customHeight="1">
      <c r="C576" s="15"/>
      <c r="F576" s="15"/>
      <c r="G576" s="15"/>
      <c r="K576" s="15"/>
    </row>
    <row r="577" ht="15.75" customHeight="1">
      <c r="C577" s="15"/>
      <c r="F577" s="15"/>
      <c r="G577" s="15"/>
      <c r="K577" s="15"/>
    </row>
    <row r="578" ht="15.75" customHeight="1">
      <c r="C578" s="15"/>
      <c r="F578" s="15"/>
      <c r="G578" s="15"/>
      <c r="K578" s="15"/>
    </row>
    <row r="579" ht="15.75" customHeight="1">
      <c r="C579" s="15"/>
      <c r="F579" s="15"/>
      <c r="G579" s="15"/>
      <c r="K579" s="15"/>
    </row>
    <row r="580" ht="15.75" customHeight="1">
      <c r="C580" s="15"/>
      <c r="F580" s="15"/>
      <c r="G580" s="15"/>
      <c r="K580" s="15"/>
    </row>
    <row r="581" ht="15.75" customHeight="1">
      <c r="C581" s="15"/>
      <c r="F581" s="15"/>
      <c r="G581" s="15"/>
      <c r="K581" s="15"/>
    </row>
    <row r="582" ht="15.75" customHeight="1">
      <c r="C582" s="15"/>
      <c r="F582" s="15"/>
      <c r="G582" s="15"/>
      <c r="K582" s="15"/>
    </row>
    <row r="583" ht="15.75" customHeight="1">
      <c r="C583" s="15"/>
      <c r="F583" s="15"/>
      <c r="G583" s="15"/>
      <c r="K583" s="15"/>
    </row>
    <row r="584" ht="15.75" customHeight="1">
      <c r="C584" s="15"/>
      <c r="F584" s="15"/>
      <c r="G584" s="15"/>
      <c r="K584" s="15"/>
    </row>
    <row r="585" ht="15.75" customHeight="1">
      <c r="C585" s="15"/>
      <c r="F585" s="15"/>
      <c r="G585" s="15"/>
      <c r="K585" s="15"/>
    </row>
    <row r="586" ht="15.75" customHeight="1">
      <c r="C586" s="15"/>
      <c r="F586" s="15"/>
      <c r="G586" s="15"/>
      <c r="K586" s="15"/>
    </row>
    <row r="587" ht="15.75" customHeight="1">
      <c r="C587" s="15"/>
      <c r="F587" s="15"/>
      <c r="G587" s="15"/>
      <c r="K587" s="15"/>
    </row>
    <row r="588" ht="15.75" customHeight="1">
      <c r="C588" s="15"/>
      <c r="F588" s="15"/>
      <c r="G588" s="15"/>
      <c r="K588" s="15"/>
    </row>
    <row r="589" ht="15.75" customHeight="1">
      <c r="C589" s="15"/>
      <c r="F589" s="15"/>
      <c r="G589" s="15"/>
      <c r="K589" s="15"/>
    </row>
    <row r="590" ht="15.75" customHeight="1">
      <c r="C590" s="15"/>
      <c r="F590" s="15"/>
      <c r="G590" s="15"/>
      <c r="K590" s="15"/>
    </row>
    <row r="591" ht="15.75" customHeight="1">
      <c r="C591" s="15"/>
      <c r="F591" s="15"/>
      <c r="G591" s="15"/>
      <c r="K591" s="15"/>
    </row>
    <row r="592" ht="15.75" customHeight="1">
      <c r="C592" s="15"/>
      <c r="F592" s="15"/>
      <c r="G592" s="15"/>
      <c r="K592" s="15"/>
    </row>
    <row r="593" ht="15.75" customHeight="1">
      <c r="C593" s="15"/>
      <c r="F593" s="15"/>
      <c r="G593" s="15"/>
      <c r="K593" s="15"/>
    </row>
    <row r="594" ht="15.75" customHeight="1">
      <c r="C594" s="15"/>
      <c r="F594" s="15"/>
      <c r="G594" s="15"/>
      <c r="K594" s="15"/>
    </row>
    <row r="595" ht="15.75" customHeight="1">
      <c r="C595" s="15"/>
      <c r="F595" s="15"/>
      <c r="G595" s="15"/>
      <c r="K595" s="15"/>
    </row>
    <row r="596" ht="15.75" customHeight="1">
      <c r="C596" s="15"/>
      <c r="F596" s="15"/>
      <c r="G596" s="15"/>
      <c r="K596" s="15"/>
    </row>
    <row r="597" ht="15.75" customHeight="1">
      <c r="C597" s="15"/>
      <c r="F597" s="15"/>
      <c r="G597" s="15"/>
      <c r="K597" s="15"/>
    </row>
    <row r="598" ht="15.75" customHeight="1">
      <c r="C598" s="15"/>
      <c r="F598" s="15"/>
      <c r="G598" s="15"/>
      <c r="K598" s="15"/>
    </row>
    <row r="599" ht="15.75" customHeight="1">
      <c r="C599" s="15"/>
      <c r="F599" s="15"/>
      <c r="G599" s="15"/>
      <c r="K599" s="15"/>
    </row>
    <row r="600" ht="15.75" customHeight="1">
      <c r="C600" s="15"/>
      <c r="F600" s="15"/>
      <c r="G600" s="15"/>
      <c r="K600" s="15"/>
    </row>
    <row r="601" ht="15.75" customHeight="1">
      <c r="C601" s="15"/>
      <c r="F601" s="15"/>
      <c r="G601" s="15"/>
      <c r="K601" s="15"/>
    </row>
    <row r="602" ht="15.75" customHeight="1">
      <c r="C602" s="15"/>
      <c r="F602" s="15"/>
      <c r="G602" s="15"/>
      <c r="K602" s="15"/>
    </row>
    <row r="603" ht="15.75" customHeight="1">
      <c r="C603" s="15"/>
      <c r="F603" s="15"/>
      <c r="G603" s="15"/>
      <c r="K603" s="15"/>
    </row>
    <row r="604" ht="15.75" customHeight="1">
      <c r="C604" s="15"/>
      <c r="F604" s="15"/>
      <c r="G604" s="15"/>
      <c r="K604" s="15"/>
    </row>
    <row r="605" ht="15.75" customHeight="1">
      <c r="C605" s="15"/>
      <c r="F605" s="15"/>
      <c r="G605" s="15"/>
      <c r="K605" s="15"/>
    </row>
    <row r="606" ht="15.75" customHeight="1">
      <c r="C606" s="15"/>
      <c r="F606" s="15"/>
      <c r="G606" s="15"/>
      <c r="K606" s="15"/>
    </row>
    <row r="607" ht="15.75" customHeight="1">
      <c r="C607" s="15"/>
      <c r="F607" s="15"/>
      <c r="G607" s="15"/>
      <c r="K607" s="15"/>
    </row>
    <row r="608" ht="15.75" customHeight="1">
      <c r="C608" s="15"/>
      <c r="F608" s="15"/>
      <c r="G608" s="15"/>
      <c r="K608" s="15"/>
    </row>
    <row r="609" ht="15.75" customHeight="1">
      <c r="C609" s="15"/>
      <c r="F609" s="15"/>
      <c r="G609" s="15"/>
      <c r="K609" s="15"/>
    </row>
    <row r="610" ht="15.75" customHeight="1">
      <c r="C610" s="15"/>
      <c r="F610" s="15"/>
      <c r="G610" s="15"/>
      <c r="K610" s="15"/>
    </row>
    <row r="611" ht="15.75" customHeight="1">
      <c r="C611" s="15"/>
      <c r="F611" s="15"/>
      <c r="G611" s="15"/>
      <c r="K611" s="15"/>
    </row>
    <row r="612" ht="15.75" customHeight="1">
      <c r="C612" s="15"/>
      <c r="F612" s="15"/>
      <c r="G612" s="15"/>
      <c r="K612" s="15"/>
    </row>
    <row r="613" ht="15.75" customHeight="1">
      <c r="C613" s="15"/>
      <c r="F613" s="15"/>
      <c r="G613" s="15"/>
      <c r="K613" s="15"/>
    </row>
    <row r="614" ht="15.75" customHeight="1">
      <c r="C614" s="15"/>
      <c r="F614" s="15"/>
      <c r="G614" s="15"/>
      <c r="K614" s="15"/>
    </row>
    <row r="615" ht="15.75" customHeight="1">
      <c r="C615" s="15"/>
      <c r="F615" s="15"/>
      <c r="G615" s="15"/>
      <c r="K615" s="15"/>
    </row>
    <row r="616" ht="15.75" customHeight="1">
      <c r="C616" s="15"/>
      <c r="F616" s="15"/>
      <c r="G616" s="15"/>
      <c r="K616" s="15"/>
    </row>
    <row r="617" ht="15.75" customHeight="1">
      <c r="C617" s="15"/>
      <c r="F617" s="15"/>
      <c r="G617" s="15"/>
      <c r="K617" s="15"/>
    </row>
    <row r="618" ht="15.75" customHeight="1">
      <c r="C618" s="15"/>
      <c r="F618" s="15"/>
      <c r="G618" s="15"/>
      <c r="K618" s="15"/>
    </row>
    <row r="619" ht="15.75" customHeight="1">
      <c r="C619" s="15"/>
      <c r="F619" s="15"/>
      <c r="G619" s="15"/>
      <c r="K619" s="15"/>
    </row>
    <row r="620" ht="15.75" customHeight="1">
      <c r="C620" s="15"/>
      <c r="F620" s="15"/>
      <c r="G620" s="15"/>
      <c r="K620" s="15"/>
    </row>
    <row r="621" ht="15.75" customHeight="1">
      <c r="C621" s="15"/>
      <c r="F621" s="15"/>
      <c r="G621" s="15"/>
      <c r="K621" s="15"/>
    </row>
    <row r="622" ht="15.75" customHeight="1">
      <c r="C622" s="15"/>
      <c r="F622" s="15"/>
      <c r="G622" s="15"/>
      <c r="K622" s="15"/>
    </row>
    <row r="623" ht="15.75" customHeight="1">
      <c r="C623" s="15"/>
      <c r="F623" s="15"/>
      <c r="G623" s="15"/>
      <c r="K623" s="15"/>
    </row>
    <row r="624" ht="15.75" customHeight="1">
      <c r="C624" s="15"/>
      <c r="F624" s="15"/>
      <c r="G624" s="15"/>
      <c r="K624" s="15"/>
    </row>
    <row r="625" ht="15.75" customHeight="1">
      <c r="C625" s="15"/>
      <c r="F625" s="15"/>
      <c r="G625" s="15"/>
      <c r="K625" s="15"/>
    </row>
    <row r="626" ht="15.75" customHeight="1">
      <c r="C626" s="15"/>
      <c r="F626" s="15"/>
      <c r="G626" s="15"/>
      <c r="K626" s="15"/>
    </row>
    <row r="627" ht="15.75" customHeight="1">
      <c r="C627" s="15"/>
      <c r="F627" s="15"/>
      <c r="G627" s="15"/>
      <c r="K627" s="15"/>
    </row>
    <row r="628" ht="15.75" customHeight="1">
      <c r="C628" s="15"/>
      <c r="F628" s="15"/>
      <c r="G628" s="15"/>
      <c r="K628" s="15"/>
    </row>
    <row r="629" ht="15.75" customHeight="1">
      <c r="C629" s="15"/>
      <c r="F629" s="15"/>
      <c r="G629" s="15"/>
      <c r="K629" s="15"/>
    </row>
    <row r="630" ht="15.75" customHeight="1">
      <c r="C630" s="15"/>
      <c r="F630" s="15"/>
      <c r="G630" s="15"/>
      <c r="K630" s="15"/>
    </row>
    <row r="631" ht="15.75" customHeight="1">
      <c r="C631" s="15"/>
      <c r="F631" s="15"/>
      <c r="G631" s="15"/>
      <c r="K631" s="15"/>
    </row>
    <row r="632" ht="15.75" customHeight="1">
      <c r="C632" s="15"/>
      <c r="F632" s="15"/>
      <c r="G632" s="15"/>
      <c r="K632" s="15"/>
    </row>
    <row r="633" ht="15.75" customHeight="1">
      <c r="C633" s="15"/>
      <c r="F633" s="15"/>
      <c r="G633" s="15"/>
      <c r="K633" s="15"/>
    </row>
    <row r="634" ht="15.75" customHeight="1">
      <c r="C634" s="15"/>
      <c r="F634" s="15"/>
      <c r="G634" s="15"/>
      <c r="K634" s="15"/>
    </row>
    <row r="635" ht="15.75" customHeight="1">
      <c r="C635" s="15"/>
      <c r="F635" s="15"/>
      <c r="G635" s="15"/>
      <c r="K635" s="15"/>
    </row>
    <row r="636" ht="15.75" customHeight="1">
      <c r="C636" s="15"/>
      <c r="F636" s="15"/>
      <c r="G636" s="15"/>
      <c r="K636" s="15"/>
    </row>
    <row r="637" ht="15.75" customHeight="1">
      <c r="C637" s="15"/>
      <c r="F637" s="15"/>
      <c r="G637" s="15"/>
      <c r="K637" s="15"/>
    </row>
    <row r="638" ht="15.75" customHeight="1">
      <c r="C638" s="15"/>
      <c r="F638" s="15"/>
      <c r="G638" s="15"/>
      <c r="K638" s="15"/>
    </row>
    <row r="639" ht="15.75" customHeight="1">
      <c r="C639" s="15"/>
      <c r="F639" s="15"/>
      <c r="G639" s="15"/>
      <c r="K639" s="15"/>
    </row>
    <row r="640" ht="15.75" customHeight="1">
      <c r="C640" s="15"/>
      <c r="F640" s="15"/>
      <c r="G640" s="15"/>
      <c r="K640" s="15"/>
    </row>
    <row r="641" ht="15.75" customHeight="1">
      <c r="C641" s="15"/>
      <c r="F641" s="15"/>
      <c r="G641" s="15"/>
      <c r="K641" s="15"/>
    </row>
    <row r="642" ht="15.75" customHeight="1">
      <c r="C642" s="15"/>
      <c r="F642" s="15"/>
      <c r="G642" s="15"/>
      <c r="K642" s="15"/>
    </row>
    <row r="643" ht="15.75" customHeight="1">
      <c r="C643" s="15"/>
      <c r="F643" s="15"/>
      <c r="G643" s="15"/>
      <c r="K643" s="15"/>
    </row>
    <row r="644" ht="15.75" customHeight="1">
      <c r="C644" s="15"/>
      <c r="F644" s="15"/>
      <c r="G644" s="15"/>
      <c r="K644" s="15"/>
    </row>
    <row r="645" ht="15.75" customHeight="1">
      <c r="C645" s="15"/>
      <c r="F645" s="15"/>
      <c r="G645" s="15"/>
      <c r="K645" s="15"/>
    </row>
    <row r="646" ht="15.75" customHeight="1">
      <c r="C646" s="15"/>
      <c r="F646" s="15"/>
      <c r="G646" s="15"/>
      <c r="K646" s="15"/>
    </row>
    <row r="647" ht="15.75" customHeight="1">
      <c r="C647" s="15"/>
      <c r="F647" s="15"/>
      <c r="G647" s="15"/>
      <c r="K647" s="15"/>
    </row>
    <row r="648" ht="15.75" customHeight="1">
      <c r="C648" s="15"/>
      <c r="F648" s="15"/>
      <c r="G648" s="15"/>
      <c r="K648" s="15"/>
    </row>
    <row r="649" ht="15.75" customHeight="1">
      <c r="C649" s="15"/>
      <c r="F649" s="15"/>
      <c r="G649" s="15"/>
      <c r="K649" s="15"/>
    </row>
    <row r="650" ht="15.75" customHeight="1">
      <c r="C650" s="15"/>
      <c r="F650" s="15"/>
      <c r="G650" s="15"/>
      <c r="K650" s="15"/>
    </row>
    <row r="651" ht="15.75" customHeight="1">
      <c r="C651" s="15"/>
      <c r="F651" s="15"/>
      <c r="G651" s="15"/>
      <c r="K651" s="15"/>
    </row>
    <row r="652" ht="15.75" customHeight="1">
      <c r="C652" s="15"/>
      <c r="F652" s="15"/>
      <c r="G652" s="15"/>
      <c r="K652" s="15"/>
    </row>
    <row r="653" ht="15.75" customHeight="1">
      <c r="C653" s="15"/>
      <c r="F653" s="15"/>
      <c r="G653" s="15"/>
      <c r="K653" s="15"/>
    </row>
    <row r="654" ht="15.75" customHeight="1">
      <c r="C654" s="15"/>
      <c r="F654" s="15"/>
      <c r="G654" s="15"/>
      <c r="K654" s="15"/>
    </row>
    <row r="655" ht="15.75" customHeight="1">
      <c r="C655" s="15"/>
      <c r="F655" s="15"/>
      <c r="G655" s="15"/>
      <c r="K655" s="15"/>
    </row>
    <row r="656" ht="15.75" customHeight="1">
      <c r="C656" s="15"/>
      <c r="F656" s="15"/>
      <c r="G656" s="15"/>
      <c r="K656" s="15"/>
    </row>
    <row r="657" ht="15.75" customHeight="1">
      <c r="C657" s="15"/>
      <c r="F657" s="15"/>
      <c r="G657" s="15"/>
      <c r="K657" s="15"/>
    </row>
    <row r="658" ht="15.75" customHeight="1">
      <c r="C658" s="15"/>
      <c r="F658" s="15"/>
      <c r="G658" s="15"/>
      <c r="K658" s="15"/>
    </row>
    <row r="659" ht="15.75" customHeight="1">
      <c r="C659" s="15"/>
      <c r="F659" s="15"/>
      <c r="G659" s="15"/>
      <c r="K659" s="15"/>
    </row>
    <row r="660" ht="15.75" customHeight="1">
      <c r="C660" s="15"/>
      <c r="F660" s="15"/>
      <c r="G660" s="15"/>
      <c r="K660" s="15"/>
    </row>
    <row r="661" ht="15.75" customHeight="1">
      <c r="C661" s="15"/>
      <c r="F661" s="15"/>
      <c r="G661" s="15"/>
      <c r="K661" s="15"/>
    </row>
    <row r="662" ht="15.75" customHeight="1">
      <c r="C662" s="15"/>
      <c r="F662" s="15"/>
      <c r="G662" s="15"/>
      <c r="K662" s="15"/>
    </row>
    <row r="663" ht="15.75" customHeight="1">
      <c r="C663" s="15"/>
      <c r="F663" s="15"/>
      <c r="G663" s="15"/>
      <c r="K663" s="15"/>
    </row>
    <row r="664" ht="15.75" customHeight="1">
      <c r="C664" s="15"/>
      <c r="F664" s="15"/>
      <c r="G664" s="15"/>
      <c r="K664" s="15"/>
    </row>
    <row r="665" ht="15.75" customHeight="1">
      <c r="C665" s="15"/>
      <c r="F665" s="15"/>
      <c r="G665" s="15"/>
      <c r="K665" s="15"/>
    </row>
    <row r="666" ht="15.75" customHeight="1">
      <c r="C666" s="15"/>
      <c r="F666" s="15"/>
      <c r="G666" s="15"/>
      <c r="K666" s="15"/>
    </row>
    <row r="667" ht="15.75" customHeight="1">
      <c r="C667" s="15"/>
      <c r="F667" s="15"/>
      <c r="G667" s="15"/>
      <c r="K667" s="15"/>
    </row>
    <row r="668" ht="15.75" customHeight="1">
      <c r="C668" s="15"/>
      <c r="F668" s="15"/>
      <c r="G668" s="15"/>
      <c r="K668" s="15"/>
    </row>
    <row r="669" ht="15.75" customHeight="1">
      <c r="C669" s="15"/>
      <c r="F669" s="15"/>
      <c r="G669" s="15"/>
      <c r="K669" s="15"/>
    </row>
    <row r="670" ht="15.75" customHeight="1">
      <c r="C670" s="15"/>
      <c r="F670" s="15"/>
      <c r="G670" s="15"/>
      <c r="K670" s="15"/>
    </row>
    <row r="671" ht="15.75" customHeight="1">
      <c r="C671" s="15"/>
      <c r="F671" s="15"/>
      <c r="G671" s="15"/>
      <c r="K671" s="15"/>
    </row>
    <row r="672" ht="15.75" customHeight="1">
      <c r="C672" s="15"/>
      <c r="F672" s="15"/>
      <c r="G672" s="15"/>
      <c r="K672" s="15"/>
    </row>
    <row r="673" ht="15.75" customHeight="1">
      <c r="C673" s="15"/>
      <c r="F673" s="15"/>
      <c r="G673" s="15"/>
      <c r="K673" s="15"/>
    </row>
    <row r="674" ht="15.75" customHeight="1">
      <c r="C674" s="15"/>
      <c r="F674" s="15"/>
      <c r="G674" s="15"/>
      <c r="K674" s="15"/>
    </row>
    <row r="675" ht="15.75" customHeight="1">
      <c r="C675" s="15"/>
      <c r="F675" s="15"/>
      <c r="G675" s="15"/>
      <c r="K675" s="15"/>
    </row>
    <row r="676" ht="15.75" customHeight="1">
      <c r="C676" s="15"/>
      <c r="F676" s="15"/>
      <c r="G676" s="15"/>
      <c r="K676" s="15"/>
    </row>
    <row r="677" ht="15.75" customHeight="1">
      <c r="C677" s="15"/>
      <c r="F677" s="15"/>
      <c r="G677" s="15"/>
      <c r="K677" s="15"/>
    </row>
    <row r="678" ht="15.75" customHeight="1">
      <c r="C678" s="15"/>
      <c r="F678" s="15"/>
      <c r="G678" s="15"/>
      <c r="K678" s="15"/>
    </row>
    <row r="679" ht="15.75" customHeight="1">
      <c r="C679" s="15"/>
      <c r="F679" s="15"/>
      <c r="G679" s="15"/>
      <c r="K679" s="15"/>
    </row>
    <row r="680" ht="15.75" customHeight="1">
      <c r="C680" s="15"/>
      <c r="F680" s="15"/>
      <c r="G680" s="15"/>
      <c r="K680" s="15"/>
    </row>
    <row r="681" ht="15.75" customHeight="1">
      <c r="C681" s="15"/>
      <c r="F681" s="15"/>
      <c r="G681" s="15"/>
      <c r="K681" s="15"/>
    </row>
    <row r="682" ht="15.75" customHeight="1">
      <c r="C682" s="15"/>
      <c r="F682" s="15"/>
      <c r="G682" s="15"/>
      <c r="K682" s="15"/>
    </row>
    <row r="683" ht="15.75" customHeight="1">
      <c r="C683" s="15"/>
      <c r="F683" s="15"/>
      <c r="G683" s="15"/>
      <c r="K683" s="15"/>
    </row>
    <row r="684" ht="15.75" customHeight="1">
      <c r="C684" s="15"/>
      <c r="F684" s="15"/>
      <c r="G684" s="15"/>
      <c r="K684" s="15"/>
    </row>
    <row r="685" ht="15.75" customHeight="1">
      <c r="C685" s="15"/>
      <c r="F685" s="15"/>
      <c r="G685" s="15"/>
      <c r="K685" s="15"/>
    </row>
    <row r="686" ht="15.75" customHeight="1">
      <c r="C686" s="15"/>
      <c r="F686" s="15"/>
      <c r="G686" s="15"/>
      <c r="K686" s="15"/>
    </row>
    <row r="687" ht="15.75" customHeight="1">
      <c r="C687" s="15"/>
      <c r="F687" s="15"/>
      <c r="G687" s="15"/>
      <c r="K687" s="15"/>
    </row>
    <row r="688" ht="15.75" customHeight="1">
      <c r="C688" s="15"/>
      <c r="F688" s="15"/>
      <c r="G688" s="15"/>
      <c r="K688" s="15"/>
    </row>
    <row r="689" ht="15.75" customHeight="1">
      <c r="C689" s="15"/>
      <c r="F689" s="15"/>
      <c r="G689" s="15"/>
      <c r="K689" s="15"/>
    </row>
    <row r="690" ht="15.75" customHeight="1">
      <c r="C690" s="15"/>
      <c r="F690" s="15"/>
      <c r="G690" s="15"/>
      <c r="K690" s="15"/>
    </row>
    <row r="691" ht="15.75" customHeight="1">
      <c r="C691" s="15"/>
      <c r="F691" s="15"/>
      <c r="G691" s="15"/>
      <c r="K691" s="15"/>
    </row>
    <row r="692" ht="15.75" customHeight="1">
      <c r="C692" s="15"/>
      <c r="F692" s="15"/>
      <c r="G692" s="15"/>
      <c r="K692" s="15"/>
    </row>
    <row r="693" ht="15.75" customHeight="1">
      <c r="C693" s="15"/>
      <c r="F693" s="15"/>
      <c r="G693" s="15"/>
      <c r="K693" s="15"/>
    </row>
    <row r="694" ht="15.75" customHeight="1">
      <c r="C694" s="15"/>
      <c r="F694" s="15"/>
      <c r="G694" s="15"/>
      <c r="K694" s="15"/>
    </row>
    <row r="695" ht="15.75" customHeight="1">
      <c r="C695" s="15"/>
      <c r="F695" s="15"/>
      <c r="G695" s="15"/>
      <c r="K695" s="15"/>
    </row>
    <row r="696" ht="15.75" customHeight="1">
      <c r="C696" s="15"/>
      <c r="F696" s="15"/>
      <c r="G696" s="15"/>
      <c r="K696" s="15"/>
    </row>
    <row r="697" ht="15.75" customHeight="1">
      <c r="C697" s="15"/>
      <c r="F697" s="15"/>
      <c r="G697" s="15"/>
      <c r="K697" s="15"/>
    </row>
    <row r="698" ht="15.75" customHeight="1">
      <c r="C698" s="15"/>
      <c r="F698" s="15"/>
      <c r="G698" s="15"/>
      <c r="K698" s="15"/>
    </row>
    <row r="699" ht="15.75" customHeight="1">
      <c r="C699" s="15"/>
      <c r="F699" s="15"/>
      <c r="G699" s="15"/>
      <c r="K699" s="15"/>
    </row>
    <row r="700" ht="15.75" customHeight="1">
      <c r="C700" s="15"/>
      <c r="F700" s="15"/>
      <c r="G700" s="15"/>
      <c r="K700" s="15"/>
    </row>
    <row r="701" ht="15.75" customHeight="1">
      <c r="C701" s="15"/>
      <c r="F701" s="15"/>
      <c r="G701" s="15"/>
      <c r="K701" s="15"/>
    </row>
    <row r="702" ht="15.75" customHeight="1">
      <c r="C702" s="15"/>
      <c r="F702" s="15"/>
      <c r="G702" s="15"/>
      <c r="K702" s="15"/>
    </row>
    <row r="703" ht="15.75" customHeight="1">
      <c r="C703" s="15"/>
      <c r="F703" s="15"/>
      <c r="G703" s="15"/>
      <c r="K703" s="15"/>
    </row>
    <row r="704" ht="15.75" customHeight="1">
      <c r="C704" s="15"/>
      <c r="F704" s="15"/>
      <c r="G704" s="15"/>
      <c r="K704" s="15"/>
    </row>
    <row r="705" ht="15.75" customHeight="1">
      <c r="C705" s="15"/>
      <c r="F705" s="15"/>
      <c r="G705" s="15"/>
      <c r="K705" s="15"/>
    </row>
    <row r="706" ht="15.75" customHeight="1">
      <c r="C706" s="15"/>
      <c r="F706" s="15"/>
      <c r="G706" s="15"/>
      <c r="K706" s="15"/>
    </row>
    <row r="707" ht="15.75" customHeight="1">
      <c r="C707" s="15"/>
      <c r="F707" s="15"/>
      <c r="G707" s="15"/>
      <c r="K707" s="15"/>
    </row>
    <row r="708" ht="15.75" customHeight="1">
      <c r="C708" s="15"/>
      <c r="F708" s="15"/>
      <c r="G708" s="15"/>
      <c r="K708" s="15"/>
    </row>
    <row r="709" ht="15.75" customHeight="1">
      <c r="C709" s="15"/>
      <c r="F709" s="15"/>
      <c r="G709" s="15"/>
      <c r="K709" s="15"/>
    </row>
    <row r="710" ht="15.75" customHeight="1">
      <c r="C710" s="15"/>
      <c r="F710" s="15"/>
      <c r="G710" s="15"/>
      <c r="K710" s="15"/>
    </row>
    <row r="711" ht="15.75" customHeight="1">
      <c r="C711" s="15"/>
      <c r="F711" s="15"/>
      <c r="G711" s="15"/>
      <c r="K711" s="15"/>
    </row>
    <row r="712" ht="15.75" customHeight="1">
      <c r="C712" s="15"/>
      <c r="F712" s="15"/>
      <c r="G712" s="15"/>
      <c r="K712" s="15"/>
    </row>
    <row r="713" ht="15.75" customHeight="1">
      <c r="C713" s="15"/>
      <c r="F713" s="15"/>
      <c r="G713" s="15"/>
      <c r="K713" s="15"/>
    </row>
    <row r="714" ht="15.75" customHeight="1">
      <c r="C714" s="15"/>
      <c r="F714" s="15"/>
      <c r="G714" s="15"/>
      <c r="K714" s="15"/>
    </row>
    <row r="715" ht="15.75" customHeight="1">
      <c r="C715" s="15"/>
      <c r="F715" s="15"/>
      <c r="G715" s="15"/>
      <c r="K715" s="15"/>
    </row>
    <row r="716" ht="15.75" customHeight="1">
      <c r="C716" s="15"/>
      <c r="F716" s="15"/>
      <c r="G716" s="15"/>
      <c r="K716" s="15"/>
    </row>
    <row r="717" ht="15.75" customHeight="1">
      <c r="C717" s="15"/>
      <c r="F717" s="15"/>
      <c r="G717" s="15"/>
      <c r="K717" s="15"/>
    </row>
    <row r="718" ht="15.75" customHeight="1">
      <c r="C718" s="15"/>
      <c r="F718" s="15"/>
      <c r="G718" s="15"/>
      <c r="K718" s="15"/>
    </row>
    <row r="719" ht="15.75" customHeight="1">
      <c r="C719" s="15"/>
      <c r="F719" s="15"/>
      <c r="G719" s="15"/>
      <c r="K719" s="15"/>
    </row>
    <row r="720" ht="15.75" customHeight="1">
      <c r="C720" s="15"/>
      <c r="F720" s="15"/>
      <c r="G720" s="15"/>
      <c r="K720" s="15"/>
    </row>
    <row r="721" ht="15.75" customHeight="1">
      <c r="C721" s="15"/>
      <c r="F721" s="15"/>
      <c r="G721" s="15"/>
      <c r="K721" s="15"/>
    </row>
    <row r="722" ht="15.75" customHeight="1">
      <c r="C722" s="15"/>
      <c r="F722" s="15"/>
      <c r="G722" s="15"/>
      <c r="K722" s="15"/>
    </row>
    <row r="723" ht="15.75" customHeight="1">
      <c r="C723" s="15"/>
      <c r="F723" s="15"/>
      <c r="G723" s="15"/>
      <c r="K723" s="15"/>
    </row>
    <row r="724" ht="15.75" customHeight="1">
      <c r="C724" s="15"/>
      <c r="F724" s="15"/>
      <c r="G724" s="15"/>
      <c r="K724" s="15"/>
    </row>
    <row r="725" ht="15.75" customHeight="1">
      <c r="C725" s="15"/>
      <c r="F725" s="15"/>
      <c r="G725" s="15"/>
      <c r="K725" s="15"/>
    </row>
    <row r="726" ht="15.75" customHeight="1">
      <c r="C726" s="15"/>
      <c r="F726" s="15"/>
      <c r="G726" s="15"/>
      <c r="K726" s="15"/>
    </row>
    <row r="727" ht="15.75" customHeight="1">
      <c r="C727" s="15"/>
      <c r="F727" s="15"/>
      <c r="G727" s="15"/>
      <c r="K727" s="15"/>
    </row>
    <row r="728" ht="15.75" customHeight="1">
      <c r="C728" s="15"/>
      <c r="F728" s="15"/>
      <c r="G728" s="15"/>
      <c r="K728" s="15"/>
    </row>
    <row r="729" ht="15.75" customHeight="1">
      <c r="C729" s="15"/>
      <c r="F729" s="15"/>
      <c r="G729" s="15"/>
      <c r="K729" s="15"/>
    </row>
    <row r="730" ht="15.75" customHeight="1">
      <c r="C730" s="15"/>
      <c r="F730" s="15"/>
      <c r="G730" s="15"/>
      <c r="K730" s="15"/>
    </row>
    <row r="731" ht="15.75" customHeight="1">
      <c r="C731" s="15"/>
      <c r="F731" s="15"/>
      <c r="G731" s="15"/>
      <c r="K731" s="15"/>
    </row>
    <row r="732" ht="15.75" customHeight="1">
      <c r="C732" s="15"/>
      <c r="F732" s="15"/>
      <c r="G732" s="15"/>
      <c r="K732" s="15"/>
    </row>
    <row r="733" ht="15.75" customHeight="1">
      <c r="C733" s="15"/>
      <c r="F733" s="15"/>
      <c r="G733" s="15"/>
      <c r="K733" s="15"/>
    </row>
    <row r="734" ht="15.75" customHeight="1">
      <c r="C734" s="15"/>
      <c r="F734" s="15"/>
      <c r="G734" s="15"/>
      <c r="K734" s="15"/>
    </row>
    <row r="735" ht="15.75" customHeight="1">
      <c r="C735" s="15"/>
      <c r="F735" s="15"/>
      <c r="G735" s="15"/>
      <c r="K735" s="15"/>
    </row>
    <row r="736" ht="15.75" customHeight="1">
      <c r="C736" s="15"/>
      <c r="F736" s="15"/>
      <c r="G736" s="15"/>
      <c r="K736" s="15"/>
    </row>
    <row r="737" ht="15.75" customHeight="1">
      <c r="C737" s="15"/>
      <c r="F737" s="15"/>
      <c r="G737" s="15"/>
      <c r="K737" s="15"/>
    </row>
    <row r="738" ht="15.75" customHeight="1">
      <c r="C738" s="15"/>
      <c r="F738" s="15"/>
      <c r="G738" s="15"/>
      <c r="K738" s="15"/>
    </row>
    <row r="739" ht="15.75" customHeight="1">
      <c r="C739" s="15"/>
      <c r="F739" s="15"/>
      <c r="G739" s="15"/>
      <c r="K739" s="15"/>
    </row>
    <row r="740" ht="15.75" customHeight="1">
      <c r="C740" s="15"/>
      <c r="F740" s="15"/>
      <c r="G740" s="15"/>
      <c r="K740" s="15"/>
    </row>
    <row r="741" ht="15.75" customHeight="1">
      <c r="C741" s="15"/>
      <c r="F741" s="15"/>
      <c r="G741" s="15"/>
      <c r="K741" s="15"/>
    </row>
    <row r="742" ht="15.75" customHeight="1">
      <c r="C742" s="15"/>
      <c r="F742" s="15"/>
      <c r="G742" s="15"/>
      <c r="K742" s="15"/>
    </row>
    <row r="743" ht="15.75" customHeight="1">
      <c r="C743" s="15"/>
      <c r="F743" s="15"/>
      <c r="G743" s="15"/>
      <c r="K743" s="15"/>
    </row>
    <row r="744" ht="15.75" customHeight="1">
      <c r="C744" s="15"/>
      <c r="F744" s="15"/>
      <c r="G744" s="15"/>
      <c r="K744" s="15"/>
    </row>
    <row r="745" ht="15.75" customHeight="1">
      <c r="C745" s="15"/>
      <c r="F745" s="15"/>
      <c r="G745" s="15"/>
      <c r="K745" s="15"/>
    </row>
    <row r="746" ht="15.75" customHeight="1">
      <c r="C746" s="15"/>
      <c r="F746" s="15"/>
      <c r="G746" s="15"/>
      <c r="K746" s="15"/>
    </row>
    <row r="747" ht="15.75" customHeight="1">
      <c r="C747" s="15"/>
      <c r="F747" s="15"/>
      <c r="G747" s="15"/>
      <c r="K747" s="15"/>
    </row>
    <row r="748" ht="15.75" customHeight="1">
      <c r="C748" s="15"/>
      <c r="F748" s="15"/>
      <c r="G748" s="15"/>
      <c r="K748" s="15"/>
    </row>
    <row r="749" ht="15.75" customHeight="1">
      <c r="C749" s="15"/>
      <c r="F749" s="15"/>
      <c r="G749" s="15"/>
      <c r="K749" s="15"/>
    </row>
    <row r="750" ht="15.75" customHeight="1">
      <c r="C750" s="15"/>
      <c r="F750" s="15"/>
      <c r="G750" s="15"/>
      <c r="K750" s="15"/>
    </row>
    <row r="751" ht="15.75" customHeight="1">
      <c r="C751" s="15"/>
      <c r="F751" s="15"/>
      <c r="G751" s="15"/>
      <c r="K751" s="15"/>
    </row>
    <row r="752" ht="15.75" customHeight="1">
      <c r="C752" s="15"/>
      <c r="F752" s="15"/>
      <c r="G752" s="15"/>
      <c r="K752" s="15"/>
    </row>
    <row r="753" ht="15.75" customHeight="1">
      <c r="C753" s="15"/>
      <c r="F753" s="15"/>
      <c r="G753" s="15"/>
      <c r="K753" s="15"/>
    </row>
    <row r="754" ht="15.75" customHeight="1">
      <c r="C754" s="15"/>
      <c r="F754" s="15"/>
      <c r="G754" s="15"/>
      <c r="K754" s="15"/>
    </row>
    <row r="755" ht="15.75" customHeight="1">
      <c r="C755" s="15"/>
      <c r="F755" s="15"/>
      <c r="G755" s="15"/>
      <c r="K755" s="15"/>
    </row>
    <row r="756" ht="15.75" customHeight="1">
      <c r="C756" s="15"/>
      <c r="F756" s="15"/>
      <c r="G756" s="15"/>
      <c r="K756" s="15"/>
    </row>
    <row r="757" ht="15.75" customHeight="1">
      <c r="C757" s="15"/>
      <c r="F757" s="15"/>
      <c r="G757" s="15"/>
      <c r="K757" s="15"/>
    </row>
    <row r="758" ht="15.75" customHeight="1">
      <c r="C758" s="15"/>
      <c r="F758" s="15"/>
      <c r="G758" s="15"/>
      <c r="K758" s="15"/>
    </row>
    <row r="759" ht="15.75" customHeight="1">
      <c r="C759" s="15"/>
      <c r="F759" s="15"/>
      <c r="G759" s="15"/>
      <c r="K759" s="15"/>
    </row>
    <row r="760" ht="15.75" customHeight="1">
      <c r="C760" s="15"/>
      <c r="F760" s="15"/>
      <c r="G760" s="15"/>
      <c r="K760" s="15"/>
    </row>
    <row r="761" ht="15.75" customHeight="1">
      <c r="C761" s="15"/>
      <c r="F761" s="15"/>
      <c r="G761" s="15"/>
      <c r="K761" s="15"/>
    </row>
    <row r="762" ht="15.75" customHeight="1">
      <c r="C762" s="15"/>
      <c r="F762" s="15"/>
      <c r="G762" s="15"/>
      <c r="K762" s="15"/>
    </row>
    <row r="763" ht="15.75" customHeight="1">
      <c r="C763" s="15"/>
      <c r="F763" s="15"/>
      <c r="G763" s="15"/>
      <c r="K763" s="15"/>
    </row>
    <row r="764" ht="15.75" customHeight="1">
      <c r="C764" s="15"/>
      <c r="F764" s="15"/>
      <c r="G764" s="15"/>
      <c r="K764" s="15"/>
    </row>
    <row r="765" ht="15.75" customHeight="1">
      <c r="C765" s="15"/>
      <c r="F765" s="15"/>
      <c r="G765" s="15"/>
      <c r="K765" s="15"/>
    </row>
    <row r="766" ht="15.75" customHeight="1">
      <c r="C766" s="15"/>
      <c r="F766" s="15"/>
      <c r="G766" s="15"/>
      <c r="K766" s="15"/>
    </row>
    <row r="767" ht="15.75" customHeight="1">
      <c r="C767" s="15"/>
      <c r="F767" s="15"/>
      <c r="G767" s="15"/>
      <c r="K767" s="15"/>
    </row>
    <row r="768" ht="15.75" customHeight="1">
      <c r="C768" s="15"/>
      <c r="F768" s="15"/>
      <c r="G768" s="15"/>
      <c r="K768" s="15"/>
    </row>
    <row r="769" ht="15.75" customHeight="1">
      <c r="C769" s="15"/>
      <c r="F769" s="15"/>
      <c r="G769" s="15"/>
      <c r="K769" s="15"/>
    </row>
    <row r="770" ht="15.75" customHeight="1">
      <c r="C770" s="15"/>
      <c r="F770" s="15"/>
      <c r="G770" s="15"/>
      <c r="K770" s="15"/>
    </row>
    <row r="771" ht="15.75" customHeight="1">
      <c r="C771" s="15"/>
      <c r="F771" s="15"/>
      <c r="G771" s="15"/>
      <c r="K771" s="15"/>
    </row>
    <row r="772" ht="15.75" customHeight="1">
      <c r="C772" s="15"/>
      <c r="F772" s="15"/>
      <c r="G772" s="15"/>
      <c r="K772" s="15"/>
    </row>
    <row r="773" ht="15.75" customHeight="1">
      <c r="C773" s="15"/>
      <c r="F773" s="15"/>
      <c r="G773" s="15"/>
      <c r="K773" s="15"/>
    </row>
    <row r="774" ht="15.75" customHeight="1">
      <c r="C774" s="15"/>
      <c r="F774" s="15"/>
      <c r="G774" s="15"/>
      <c r="K774" s="15"/>
    </row>
    <row r="775" ht="15.75" customHeight="1">
      <c r="C775" s="15"/>
      <c r="F775" s="15"/>
      <c r="G775" s="15"/>
      <c r="K775" s="15"/>
    </row>
    <row r="776" ht="15.75" customHeight="1">
      <c r="C776" s="15"/>
      <c r="F776" s="15"/>
      <c r="G776" s="15"/>
      <c r="K776" s="15"/>
    </row>
    <row r="777" ht="15.75" customHeight="1">
      <c r="C777" s="15"/>
      <c r="F777" s="15"/>
      <c r="G777" s="15"/>
      <c r="K777" s="15"/>
    </row>
    <row r="778" ht="15.75" customHeight="1">
      <c r="C778" s="15"/>
      <c r="F778" s="15"/>
      <c r="G778" s="15"/>
      <c r="K778" s="15"/>
    </row>
    <row r="779" ht="15.75" customHeight="1">
      <c r="C779" s="15"/>
      <c r="F779" s="15"/>
      <c r="G779" s="15"/>
      <c r="K779" s="15"/>
    </row>
    <row r="780" ht="15.75" customHeight="1">
      <c r="C780" s="15"/>
      <c r="F780" s="15"/>
      <c r="G780" s="15"/>
      <c r="K780" s="15"/>
    </row>
    <row r="781" ht="15.75" customHeight="1">
      <c r="C781" s="15"/>
      <c r="F781" s="15"/>
      <c r="G781" s="15"/>
      <c r="K781" s="15"/>
    </row>
    <row r="782" ht="15.75" customHeight="1">
      <c r="C782" s="15"/>
      <c r="F782" s="15"/>
      <c r="G782" s="15"/>
      <c r="K782" s="15"/>
    </row>
    <row r="783" ht="15.75" customHeight="1">
      <c r="C783" s="15"/>
      <c r="F783" s="15"/>
      <c r="G783" s="15"/>
      <c r="K783" s="15"/>
    </row>
    <row r="784" ht="15.75" customHeight="1">
      <c r="C784" s="15"/>
      <c r="F784" s="15"/>
      <c r="G784" s="15"/>
      <c r="K784" s="15"/>
    </row>
    <row r="785" ht="15.75" customHeight="1">
      <c r="C785" s="15"/>
      <c r="F785" s="15"/>
      <c r="G785" s="15"/>
      <c r="K785" s="15"/>
    </row>
    <row r="786" ht="15.75" customHeight="1">
      <c r="C786" s="15"/>
      <c r="F786" s="15"/>
      <c r="G786" s="15"/>
      <c r="K786" s="15"/>
    </row>
    <row r="787" ht="15.75" customHeight="1">
      <c r="C787" s="15"/>
      <c r="F787" s="15"/>
      <c r="G787" s="15"/>
      <c r="K787" s="15"/>
    </row>
    <row r="788" ht="15.75" customHeight="1">
      <c r="C788" s="15"/>
      <c r="F788" s="15"/>
      <c r="G788" s="15"/>
      <c r="K788" s="15"/>
    </row>
    <row r="789" ht="15.75" customHeight="1">
      <c r="C789" s="15"/>
      <c r="F789" s="15"/>
      <c r="G789" s="15"/>
      <c r="K789" s="15"/>
    </row>
    <row r="790" ht="15.75" customHeight="1">
      <c r="C790" s="15"/>
      <c r="F790" s="15"/>
      <c r="G790" s="15"/>
      <c r="K790" s="15"/>
    </row>
    <row r="791" ht="15.75" customHeight="1">
      <c r="C791" s="15"/>
      <c r="F791" s="15"/>
      <c r="G791" s="15"/>
      <c r="K791" s="15"/>
    </row>
    <row r="792" ht="15.75" customHeight="1">
      <c r="C792" s="15"/>
      <c r="F792" s="15"/>
      <c r="G792" s="15"/>
      <c r="K792" s="15"/>
    </row>
    <row r="793" ht="15.75" customHeight="1">
      <c r="C793" s="15"/>
      <c r="F793" s="15"/>
      <c r="G793" s="15"/>
      <c r="K793" s="15"/>
    </row>
    <row r="794" ht="15.75" customHeight="1">
      <c r="C794" s="15"/>
      <c r="F794" s="15"/>
      <c r="G794" s="15"/>
      <c r="K794" s="15"/>
    </row>
    <row r="795" ht="15.75" customHeight="1">
      <c r="C795" s="15"/>
      <c r="F795" s="15"/>
      <c r="G795" s="15"/>
      <c r="K795" s="15"/>
    </row>
    <row r="796" ht="15.75" customHeight="1">
      <c r="C796" s="15"/>
      <c r="F796" s="15"/>
      <c r="G796" s="15"/>
      <c r="K796" s="15"/>
    </row>
    <row r="797" ht="15.75" customHeight="1">
      <c r="C797" s="15"/>
      <c r="F797" s="15"/>
      <c r="G797" s="15"/>
      <c r="K797" s="15"/>
    </row>
    <row r="798" ht="15.75" customHeight="1">
      <c r="C798" s="15"/>
      <c r="F798" s="15"/>
      <c r="G798" s="15"/>
      <c r="K798" s="15"/>
    </row>
    <row r="799" ht="15.75" customHeight="1">
      <c r="C799" s="15"/>
      <c r="F799" s="15"/>
      <c r="G799" s="15"/>
      <c r="K799" s="15"/>
    </row>
    <row r="800" ht="15.75" customHeight="1">
      <c r="C800" s="15"/>
      <c r="F800" s="15"/>
      <c r="G800" s="15"/>
      <c r="K800" s="15"/>
    </row>
    <row r="801" ht="15.75" customHeight="1">
      <c r="C801" s="15"/>
      <c r="F801" s="15"/>
      <c r="G801" s="15"/>
      <c r="K801" s="15"/>
    </row>
    <row r="802" ht="15.75" customHeight="1">
      <c r="C802" s="15"/>
      <c r="F802" s="15"/>
      <c r="G802" s="15"/>
      <c r="K802" s="15"/>
    </row>
    <row r="803" ht="15.75" customHeight="1">
      <c r="C803" s="15"/>
      <c r="F803" s="15"/>
      <c r="G803" s="15"/>
      <c r="K803" s="15"/>
    </row>
    <row r="804" ht="15.75" customHeight="1">
      <c r="C804" s="15"/>
      <c r="F804" s="15"/>
      <c r="G804" s="15"/>
      <c r="K804" s="15"/>
    </row>
    <row r="805" ht="15.75" customHeight="1">
      <c r="C805" s="15"/>
      <c r="F805" s="15"/>
      <c r="G805" s="15"/>
      <c r="K805" s="15"/>
    </row>
    <row r="806" ht="15.75" customHeight="1">
      <c r="C806" s="15"/>
      <c r="F806" s="15"/>
      <c r="G806" s="15"/>
      <c r="K806" s="15"/>
    </row>
    <row r="807" ht="15.75" customHeight="1">
      <c r="C807" s="15"/>
      <c r="F807" s="15"/>
      <c r="G807" s="15"/>
      <c r="K807" s="15"/>
    </row>
    <row r="808" ht="15.75" customHeight="1">
      <c r="C808" s="15"/>
      <c r="F808" s="15"/>
      <c r="G808" s="15"/>
      <c r="K808" s="15"/>
    </row>
    <row r="809" ht="15.75" customHeight="1">
      <c r="C809" s="15"/>
      <c r="F809" s="15"/>
      <c r="G809" s="15"/>
      <c r="K809" s="15"/>
    </row>
    <row r="810" ht="15.75" customHeight="1">
      <c r="C810" s="15"/>
      <c r="F810" s="15"/>
      <c r="G810" s="15"/>
      <c r="K810" s="15"/>
    </row>
    <row r="811" ht="15.75" customHeight="1">
      <c r="C811" s="15"/>
      <c r="F811" s="15"/>
      <c r="G811" s="15"/>
      <c r="K811" s="15"/>
    </row>
    <row r="812" ht="15.75" customHeight="1">
      <c r="C812" s="15"/>
      <c r="F812" s="15"/>
      <c r="G812" s="15"/>
      <c r="K812" s="15"/>
    </row>
    <row r="813" ht="15.75" customHeight="1">
      <c r="C813" s="15"/>
      <c r="F813" s="15"/>
      <c r="G813" s="15"/>
      <c r="K813" s="15"/>
    </row>
    <row r="814" ht="15.75" customHeight="1">
      <c r="C814" s="15"/>
      <c r="F814" s="15"/>
      <c r="G814" s="15"/>
      <c r="K814" s="15"/>
    </row>
    <row r="815" ht="15.75" customHeight="1">
      <c r="C815" s="15"/>
      <c r="F815" s="15"/>
      <c r="G815" s="15"/>
      <c r="K815" s="15"/>
    </row>
    <row r="816" ht="15.75" customHeight="1">
      <c r="C816" s="15"/>
      <c r="F816" s="15"/>
      <c r="G816" s="15"/>
      <c r="K816" s="15"/>
    </row>
    <row r="817" ht="15.75" customHeight="1">
      <c r="C817" s="15"/>
      <c r="F817" s="15"/>
      <c r="G817" s="15"/>
      <c r="K817" s="15"/>
    </row>
    <row r="818" ht="15.75" customHeight="1">
      <c r="C818" s="15"/>
      <c r="F818" s="15"/>
      <c r="G818" s="15"/>
      <c r="K818" s="15"/>
    </row>
    <row r="819" ht="15.75" customHeight="1">
      <c r="C819" s="15"/>
      <c r="F819" s="15"/>
      <c r="G819" s="15"/>
      <c r="K819" s="15"/>
    </row>
    <row r="820" ht="15.75" customHeight="1">
      <c r="C820" s="15"/>
      <c r="F820" s="15"/>
      <c r="G820" s="15"/>
      <c r="K820" s="15"/>
    </row>
    <row r="821" ht="15.75" customHeight="1">
      <c r="C821" s="15"/>
      <c r="F821" s="15"/>
      <c r="G821" s="15"/>
      <c r="K821" s="15"/>
    </row>
    <row r="822" ht="15.75" customHeight="1">
      <c r="C822" s="15"/>
      <c r="F822" s="15"/>
      <c r="G822" s="15"/>
      <c r="K822" s="15"/>
    </row>
    <row r="823" ht="15.75" customHeight="1">
      <c r="C823" s="15"/>
      <c r="F823" s="15"/>
      <c r="G823" s="15"/>
      <c r="K823" s="15"/>
    </row>
    <row r="824" ht="15.75" customHeight="1">
      <c r="C824" s="15"/>
      <c r="F824" s="15"/>
      <c r="G824" s="15"/>
      <c r="K824" s="15"/>
    </row>
    <row r="825" ht="15.75" customHeight="1">
      <c r="C825" s="15"/>
      <c r="F825" s="15"/>
      <c r="G825" s="15"/>
      <c r="K825" s="15"/>
    </row>
    <row r="826" ht="15.75" customHeight="1">
      <c r="C826" s="15"/>
      <c r="F826" s="15"/>
      <c r="G826" s="15"/>
      <c r="K826" s="15"/>
    </row>
    <row r="827" ht="15.75" customHeight="1">
      <c r="C827" s="15"/>
      <c r="F827" s="15"/>
      <c r="G827" s="15"/>
      <c r="K827" s="15"/>
    </row>
    <row r="828" ht="15.75" customHeight="1">
      <c r="C828" s="15"/>
      <c r="F828" s="15"/>
      <c r="G828" s="15"/>
      <c r="K828" s="15"/>
    </row>
    <row r="829" ht="15.75" customHeight="1">
      <c r="C829" s="15"/>
      <c r="F829" s="15"/>
      <c r="G829" s="15"/>
      <c r="K829" s="15"/>
    </row>
    <row r="830" ht="15.75" customHeight="1">
      <c r="C830" s="15"/>
      <c r="F830" s="15"/>
      <c r="G830" s="15"/>
      <c r="K830" s="15"/>
    </row>
    <row r="831" ht="15.75" customHeight="1">
      <c r="C831" s="15"/>
      <c r="F831" s="15"/>
      <c r="G831" s="15"/>
      <c r="K831" s="15"/>
    </row>
    <row r="832" ht="15.75" customHeight="1">
      <c r="C832" s="15"/>
      <c r="F832" s="15"/>
      <c r="G832" s="15"/>
      <c r="K832" s="15"/>
    </row>
    <row r="833" ht="15.75" customHeight="1">
      <c r="C833" s="15"/>
      <c r="F833" s="15"/>
      <c r="G833" s="15"/>
      <c r="K833" s="15"/>
    </row>
    <row r="834" ht="15.75" customHeight="1">
      <c r="C834" s="15"/>
      <c r="F834" s="15"/>
      <c r="G834" s="15"/>
      <c r="K834" s="15"/>
    </row>
    <row r="835" ht="15.75" customHeight="1">
      <c r="C835" s="15"/>
      <c r="F835" s="15"/>
      <c r="G835" s="15"/>
      <c r="K835" s="15"/>
    </row>
    <row r="836" ht="15.75" customHeight="1">
      <c r="C836" s="15"/>
      <c r="F836" s="15"/>
      <c r="G836" s="15"/>
      <c r="K836" s="15"/>
    </row>
    <row r="837" ht="15.75" customHeight="1">
      <c r="C837" s="15"/>
      <c r="F837" s="15"/>
      <c r="G837" s="15"/>
      <c r="K837" s="15"/>
    </row>
    <row r="838" ht="15.75" customHeight="1">
      <c r="C838" s="15"/>
      <c r="F838" s="15"/>
      <c r="G838" s="15"/>
      <c r="K838" s="15"/>
    </row>
    <row r="839" ht="15.75" customHeight="1">
      <c r="C839" s="15"/>
      <c r="F839" s="15"/>
      <c r="G839" s="15"/>
      <c r="K839" s="15"/>
    </row>
    <row r="840" ht="15.75" customHeight="1">
      <c r="C840" s="15"/>
      <c r="F840" s="15"/>
      <c r="G840" s="15"/>
      <c r="K840" s="15"/>
    </row>
    <row r="841" ht="15.75" customHeight="1">
      <c r="C841" s="15"/>
      <c r="F841" s="15"/>
      <c r="G841" s="15"/>
      <c r="K841" s="15"/>
    </row>
    <row r="842" ht="15.75" customHeight="1">
      <c r="C842" s="15"/>
      <c r="F842" s="15"/>
      <c r="G842" s="15"/>
      <c r="K842" s="15"/>
    </row>
    <row r="843" ht="15.75" customHeight="1">
      <c r="C843" s="15"/>
      <c r="F843" s="15"/>
      <c r="G843" s="15"/>
      <c r="K843" s="15"/>
    </row>
    <row r="844" ht="15.75" customHeight="1">
      <c r="C844" s="15"/>
      <c r="F844" s="15"/>
      <c r="G844" s="15"/>
      <c r="K844" s="15"/>
    </row>
    <row r="845" ht="15.75" customHeight="1">
      <c r="C845" s="15"/>
      <c r="F845" s="15"/>
      <c r="G845" s="15"/>
      <c r="K845" s="15"/>
    </row>
    <row r="846" ht="15.75" customHeight="1">
      <c r="C846" s="15"/>
      <c r="F846" s="15"/>
      <c r="G846" s="15"/>
      <c r="K846" s="15"/>
    </row>
    <row r="847" ht="15.75" customHeight="1">
      <c r="C847" s="15"/>
      <c r="F847" s="15"/>
      <c r="G847" s="15"/>
      <c r="K847" s="15"/>
    </row>
    <row r="848" ht="15.75" customHeight="1">
      <c r="C848" s="15"/>
      <c r="F848" s="15"/>
      <c r="G848" s="15"/>
      <c r="K848" s="15"/>
    </row>
    <row r="849" ht="15.75" customHeight="1">
      <c r="C849" s="15"/>
      <c r="F849" s="15"/>
      <c r="G849" s="15"/>
      <c r="K849" s="15"/>
    </row>
    <row r="850" ht="15.75" customHeight="1">
      <c r="C850" s="15"/>
      <c r="F850" s="15"/>
      <c r="G850" s="15"/>
      <c r="K850" s="15"/>
    </row>
    <row r="851" ht="15.75" customHeight="1">
      <c r="C851" s="15"/>
      <c r="F851" s="15"/>
      <c r="G851" s="15"/>
      <c r="K851" s="15"/>
    </row>
    <row r="852" ht="15.75" customHeight="1">
      <c r="C852" s="15"/>
      <c r="F852" s="15"/>
      <c r="G852" s="15"/>
      <c r="K852" s="15"/>
    </row>
    <row r="853" ht="15.75" customHeight="1">
      <c r="C853" s="15"/>
      <c r="F853" s="15"/>
      <c r="G853" s="15"/>
      <c r="K853" s="15"/>
    </row>
    <row r="854" ht="15.75" customHeight="1">
      <c r="C854" s="15"/>
      <c r="F854" s="15"/>
      <c r="G854" s="15"/>
      <c r="K854" s="15"/>
    </row>
    <row r="855" ht="15.75" customHeight="1">
      <c r="C855" s="15"/>
      <c r="F855" s="15"/>
      <c r="G855" s="15"/>
      <c r="K855" s="15"/>
    </row>
    <row r="856" ht="15.75" customHeight="1">
      <c r="C856" s="15"/>
      <c r="F856" s="15"/>
      <c r="G856" s="15"/>
      <c r="K856" s="15"/>
    </row>
    <row r="857" ht="15.75" customHeight="1">
      <c r="C857" s="15"/>
      <c r="F857" s="15"/>
      <c r="G857" s="15"/>
      <c r="K857" s="15"/>
    </row>
    <row r="858" ht="15.75" customHeight="1">
      <c r="C858" s="15"/>
      <c r="F858" s="15"/>
      <c r="G858" s="15"/>
      <c r="K858" s="15"/>
    </row>
    <row r="859" ht="15.75" customHeight="1">
      <c r="C859" s="15"/>
      <c r="F859" s="15"/>
      <c r="G859" s="15"/>
      <c r="K859" s="15"/>
    </row>
    <row r="860" ht="15.75" customHeight="1">
      <c r="C860" s="15"/>
      <c r="F860" s="15"/>
      <c r="G860" s="15"/>
      <c r="K860" s="15"/>
    </row>
    <row r="861" ht="15.75" customHeight="1">
      <c r="C861" s="15"/>
      <c r="F861" s="15"/>
      <c r="G861" s="15"/>
      <c r="K861" s="15"/>
    </row>
    <row r="862" ht="15.75" customHeight="1">
      <c r="C862" s="15"/>
      <c r="F862" s="15"/>
      <c r="G862" s="15"/>
      <c r="K862" s="15"/>
    </row>
    <row r="863" ht="15.75" customHeight="1">
      <c r="C863" s="15"/>
      <c r="F863" s="15"/>
      <c r="G863" s="15"/>
      <c r="K863" s="15"/>
    </row>
    <row r="864" ht="15.75" customHeight="1">
      <c r="C864" s="15"/>
      <c r="F864" s="15"/>
      <c r="G864" s="15"/>
      <c r="K864" s="15"/>
    </row>
    <row r="865" ht="15.75" customHeight="1">
      <c r="C865" s="15"/>
      <c r="F865" s="15"/>
      <c r="G865" s="15"/>
      <c r="K865" s="15"/>
    </row>
    <row r="866" ht="15.75" customHeight="1">
      <c r="C866" s="15"/>
      <c r="F866" s="15"/>
      <c r="G866" s="15"/>
      <c r="K866" s="15"/>
    </row>
    <row r="867" ht="15.75" customHeight="1">
      <c r="C867" s="15"/>
      <c r="F867" s="15"/>
      <c r="G867" s="15"/>
      <c r="K867" s="15"/>
    </row>
    <row r="868" ht="15.75" customHeight="1">
      <c r="C868" s="15"/>
      <c r="F868" s="15"/>
      <c r="G868" s="15"/>
      <c r="K868" s="15"/>
    </row>
    <row r="869" ht="15.75" customHeight="1">
      <c r="C869" s="15"/>
      <c r="F869" s="15"/>
      <c r="G869" s="15"/>
      <c r="K869" s="15"/>
    </row>
    <row r="870" ht="15.75" customHeight="1">
      <c r="C870" s="15"/>
      <c r="F870" s="15"/>
      <c r="G870" s="15"/>
      <c r="K870" s="15"/>
    </row>
    <row r="871" ht="15.75" customHeight="1">
      <c r="C871" s="15"/>
      <c r="F871" s="15"/>
      <c r="G871" s="15"/>
      <c r="K871" s="15"/>
    </row>
    <row r="872" ht="15.75" customHeight="1">
      <c r="C872" s="15"/>
      <c r="F872" s="15"/>
      <c r="G872" s="15"/>
      <c r="K872" s="15"/>
    </row>
    <row r="873" ht="15.75" customHeight="1">
      <c r="C873" s="15"/>
      <c r="F873" s="15"/>
      <c r="G873" s="15"/>
      <c r="K873" s="15"/>
    </row>
    <row r="874" ht="15.75" customHeight="1">
      <c r="C874" s="15"/>
      <c r="F874" s="15"/>
      <c r="G874" s="15"/>
      <c r="K874" s="15"/>
    </row>
    <row r="875" ht="15.75" customHeight="1">
      <c r="C875" s="15"/>
      <c r="F875" s="15"/>
      <c r="G875" s="15"/>
      <c r="K875" s="15"/>
    </row>
    <row r="876" ht="15.75" customHeight="1">
      <c r="C876" s="15"/>
      <c r="F876" s="15"/>
      <c r="G876" s="15"/>
      <c r="K876" s="15"/>
    </row>
    <row r="877" ht="15.75" customHeight="1">
      <c r="C877" s="15"/>
      <c r="F877" s="15"/>
      <c r="G877" s="15"/>
      <c r="K877" s="15"/>
    </row>
    <row r="878" ht="15.75" customHeight="1">
      <c r="C878" s="15"/>
      <c r="F878" s="15"/>
      <c r="G878" s="15"/>
      <c r="K878" s="15"/>
    </row>
    <row r="879" ht="15.75" customHeight="1">
      <c r="C879" s="15"/>
      <c r="F879" s="15"/>
      <c r="G879" s="15"/>
      <c r="K879" s="15"/>
    </row>
    <row r="880" ht="15.75" customHeight="1">
      <c r="C880" s="15"/>
      <c r="F880" s="15"/>
      <c r="G880" s="15"/>
      <c r="K880" s="15"/>
    </row>
    <row r="881" ht="15.75" customHeight="1">
      <c r="C881" s="15"/>
      <c r="F881" s="15"/>
      <c r="G881" s="15"/>
      <c r="K881" s="15"/>
    </row>
    <row r="882" ht="15.75" customHeight="1">
      <c r="C882" s="15"/>
      <c r="F882" s="15"/>
      <c r="G882" s="15"/>
      <c r="K882" s="15"/>
    </row>
    <row r="883" ht="15.75" customHeight="1">
      <c r="C883" s="15"/>
      <c r="F883" s="15"/>
      <c r="G883" s="15"/>
      <c r="K883" s="15"/>
    </row>
    <row r="884" ht="15.75" customHeight="1">
      <c r="C884" s="15"/>
      <c r="F884" s="15"/>
      <c r="G884" s="15"/>
      <c r="K884" s="15"/>
    </row>
    <row r="885" ht="15.75" customHeight="1">
      <c r="C885" s="15"/>
      <c r="F885" s="15"/>
      <c r="G885" s="15"/>
      <c r="K885" s="15"/>
    </row>
    <row r="886" ht="15.75" customHeight="1">
      <c r="C886" s="15"/>
      <c r="F886" s="15"/>
      <c r="G886" s="15"/>
      <c r="K886" s="15"/>
    </row>
    <row r="887" ht="15.75" customHeight="1">
      <c r="C887" s="15"/>
      <c r="F887" s="15"/>
      <c r="G887" s="15"/>
      <c r="K887" s="15"/>
    </row>
    <row r="888" ht="15.75" customHeight="1">
      <c r="C888" s="15"/>
      <c r="F888" s="15"/>
      <c r="G888" s="15"/>
      <c r="K888" s="15"/>
    </row>
    <row r="889" ht="15.75" customHeight="1">
      <c r="C889" s="15"/>
      <c r="F889" s="15"/>
      <c r="G889" s="15"/>
      <c r="K889" s="15"/>
    </row>
    <row r="890" ht="15.75" customHeight="1">
      <c r="C890" s="15"/>
      <c r="F890" s="15"/>
      <c r="G890" s="15"/>
      <c r="K890" s="15"/>
    </row>
    <row r="891" ht="15.75" customHeight="1">
      <c r="C891" s="15"/>
      <c r="F891" s="15"/>
      <c r="G891" s="15"/>
      <c r="K891" s="15"/>
    </row>
    <row r="892" ht="15.75" customHeight="1">
      <c r="C892" s="15"/>
      <c r="F892" s="15"/>
      <c r="G892" s="15"/>
      <c r="K892" s="15"/>
    </row>
    <row r="893" ht="15.75" customHeight="1">
      <c r="C893" s="15"/>
      <c r="F893" s="15"/>
      <c r="G893" s="15"/>
      <c r="K893" s="15"/>
    </row>
    <row r="894" ht="15.75" customHeight="1">
      <c r="C894" s="15"/>
      <c r="F894" s="15"/>
      <c r="G894" s="15"/>
      <c r="K894" s="15"/>
    </row>
    <row r="895" ht="15.75" customHeight="1">
      <c r="C895" s="15"/>
      <c r="F895" s="15"/>
      <c r="G895" s="15"/>
      <c r="K895" s="15"/>
    </row>
    <row r="896" ht="15.75" customHeight="1">
      <c r="C896" s="15"/>
      <c r="F896" s="15"/>
      <c r="G896" s="15"/>
      <c r="K896" s="15"/>
    </row>
    <row r="897" ht="15.75" customHeight="1">
      <c r="C897" s="15"/>
      <c r="F897" s="15"/>
      <c r="G897" s="15"/>
      <c r="K897" s="15"/>
    </row>
    <row r="898" ht="15.75" customHeight="1">
      <c r="C898" s="15"/>
      <c r="F898" s="15"/>
      <c r="G898" s="15"/>
      <c r="K898" s="15"/>
    </row>
    <row r="899" ht="15.75" customHeight="1">
      <c r="C899" s="15"/>
      <c r="F899" s="15"/>
      <c r="G899" s="15"/>
      <c r="K899" s="15"/>
    </row>
    <row r="900" ht="15.75" customHeight="1">
      <c r="C900" s="15"/>
      <c r="F900" s="15"/>
      <c r="G900" s="15"/>
      <c r="K900" s="15"/>
    </row>
    <row r="901" ht="15.75" customHeight="1">
      <c r="C901" s="15"/>
      <c r="F901" s="15"/>
      <c r="G901" s="15"/>
      <c r="K901" s="15"/>
    </row>
    <row r="902" ht="15.75" customHeight="1">
      <c r="C902" s="15"/>
      <c r="F902" s="15"/>
      <c r="G902" s="15"/>
      <c r="K902" s="15"/>
    </row>
    <row r="903" ht="15.75" customHeight="1">
      <c r="C903" s="15"/>
      <c r="F903" s="15"/>
      <c r="G903" s="15"/>
      <c r="K903" s="15"/>
    </row>
    <row r="904" ht="15.75" customHeight="1">
      <c r="C904" s="15"/>
      <c r="F904" s="15"/>
      <c r="G904" s="15"/>
      <c r="K904" s="15"/>
    </row>
    <row r="905" ht="15.75" customHeight="1">
      <c r="C905" s="15"/>
      <c r="F905" s="15"/>
      <c r="G905" s="15"/>
      <c r="K905" s="15"/>
    </row>
    <row r="906" ht="15.75" customHeight="1">
      <c r="C906" s="15"/>
      <c r="F906" s="15"/>
      <c r="G906" s="15"/>
      <c r="K906" s="15"/>
    </row>
    <row r="907" ht="15.75" customHeight="1">
      <c r="C907" s="15"/>
      <c r="F907" s="15"/>
      <c r="G907" s="15"/>
      <c r="K907" s="15"/>
    </row>
    <row r="908" ht="15.75" customHeight="1">
      <c r="C908" s="15"/>
      <c r="F908" s="15"/>
      <c r="G908" s="15"/>
      <c r="K908" s="15"/>
    </row>
    <row r="909" ht="15.75" customHeight="1">
      <c r="C909" s="15"/>
      <c r="F909" s="15"/>
      <c r="G909" s="15"/>
      <c r="K909" s="15"/>
    </row>
    <row r="910" ht="15.75" customHeight="1">
      <c r="C910" s="15"/>
      <c r="F910" s="15"/>
      <c r="G910" s="15"/>
      <c r="K910" s="15"/>
    </row>
    <row r="911" ht="15.75" customHeight="1">
      <c r="C911" s="15"/>
      <c r="F911" s="15"/>
      <c r="G911" s="15"/>
      <c r="K911" s="15"/>
    </row>
    <row r="912" ht="15.75" customHeight="1">
      <c r="C912" s="15"/>
      <c r="F912" s="15"/>
      <c r="G912" s="15"/>
      <c r="K912" s="15"/>
    </row>
    <row r="913" ht="15.75" customHeight="1">
      <c r="C913" s="15"/>
      <c r="F913" s="15"/>
      <c r="G913" s="15"/>
      <c r="K913" s="15"/>
    </row>
    <row r="914" ht="15.75" customHeight="1">
      <c r="C914" s="15"/>
      <c r="F914" s="15"/>
      <c r="G914" s="15"/>
      <c r="K914" s="15"/>
    </row>
    <row r="915" ht="15.75" customHeight="1">
      <c r="C915" s="15"/>
      <c r="F915" s="15"/>
      <c r="G915" s="15"/>
      <c r="K915" s="15"/>
    </row>
    <row r="916" ht="15.75" customHeight="1">
      <c r="C916" s="15"/>
      <c r="F916" s="15"/>
      <c r="G916" s="15"/>
      <c r="K916" s="15"/>
    </row>
    <row r="917" ht="15.75" customHeight="1">
      <c r="C917" s="15"/>
      <c r="F917" s="15"/>
      <c r="G917" s="15"/>
      <c r="K917" s="15"/>
    </row>
    <row r="918" ht="15.75" customHeight="1">
      <c r="C918" s="15"/>
      <c r="F918" s="15"/>
      <c r="G918" s="15"/>
      <c r="K918" s="15"/>
    </row>
    <row r="919" ht="15.75" customHeight="1">
      <c r="C919" s="15"/>
      <c r="F919" s="15"/>
      <c r="G919" s="15"/>
      <c r="K919" s="15"/>
    </row>
    <row r="920" ht="15.75" customHeight="1">
      <c r="C920" s="15"/>
      <c r="F920" s="15"/>
      <c r="G920" s="15"/>
      <c r="K920" s="15"/>
    </row>
    <row r="921" ht="15.75" customHeight="1">
      <c r="C921" s="15"/>
      <c r="F921" s="15"/>
      <c r="G921" s="15"/>
      <c r="K921" s="15"/>
    </row>
    <row r="922" ht="15.75" customHeight="1">
      <c r="C922" s="15"/>
      <c r="F922" s="15"/>
      <c r="G922" s="15"/>
      <c r="K922" s="15"/>
    </row>
    <row r="923" ht="15.75" customHeight="1">
      <c r="C923" s="15"/>
      <c r="F923" s="15"/>
      <c r="G923" s="15"/>
      <c r="K923" s="15"/>
    </row>
    <row r="924" ht="15.75" customHeight="1">
      <c r="C924" s="15"/>
      <c r="F924" s="15"/>
      <c r="G924" s="15"/>
      <c r="K924" s="15"/>
    </row>
    <row r="925" ht="15.75" customHeight="1">
      <c r="C925" s="15"/>
      <c r="F925" s="15"/>
      <c r="G925" s="15"/>
      <c r="K925" s="15"/>
    </row>
    <row r="926" ht="15.75" customHeight="1">
      <c r="C926" s="15"/>
      <c r="F926" s="15"/>
      <c r="G926" s="15"/>
      <c r="K926" s="15"/>
    </row>
    <row r="927" ht="15.75" customHeight="1">
      <c r="C927" s="15"/>
      <c r="F927" s="15"/>
      <c r="G927" s="15"/>
      <c r="K927" s="15"/>
    </row>
    <row r="928" ht="15.75" customHeight="1">
      <c r="C928" s="15"/>
      <c r="F928" s="15"/>
      <c r="G928" s="15"/>
      <c r="K928" s="15"/>
    </row>
    <row r="929" ht="15.75" customHeight="1">
      <c r="C929" s="15"/>
      <c r="F929" s="15"/>
      <c r="G929" s="15"/>
      <c r="K929" s="15"/>
    </row>
    <row r="930" ht="15.75" customHeight="1">
      <c r="C930" s="15"/>
      <c r="F930" s="15"/>
      <c r="G930" s="15"/>
      <c r="K930" s="15"/>
    </row>
    <row r="931" ht="15.75" customHeight="1">
      <c r="C931" s="15"/>
      <c r="F931" s="15"/>
      <c r="G931" s="15"/>
      <c r="K931" s="15"/>
    </row>
    <row r="932" ht="15.75" customHeight="1">
      <c r="C932" s="15"/>
      <c r="F932" s="15"/>
      <c r="G932" s="15"/>
      <c r="K932" s="15"/>
    </row>
    <row r="933" ht="15.75" customHeight="1">
      <c r="C933" s="15"/>
      <c r="F933" s="15"/>
      <c r="G933" s="15"/>
      <c r="K933" s="15"/>
    </row>
    <row r="934" ht="15.75" customHeight="1">
      <c r="C934" s="15"/>
      <c r="F934" s="15"/>
      <c r="G934" s="15"/>
      <c r="K934" s="15"/>
    </row>
    <row r="935" ht="15.75" customHeight="1">
      <c r="C935" s="15"/>
      <c r="F935" s="15"/>
      <c r="G935" s="15"/>
      <c r="K935" s="15"/>
    </row>
    <row r="936" ht="15.75" customHeight="1">
      <c r="C936" s="15"/>
      <c r="F936" s="15"/>
      <c r="G936" s="15"/>
      <c r="K936" s="15"/>
    </row>
    <row r="937" ht="15.75" customHeight="1">
      <c r="C937" s="15"/>
      <c r="F937" s="15"/>
      <c r="G937" s="15"/>
      <c r="K937" s="15"/>
    </row>
    <row r="938" ht="15.75" customHeight="1">
      <c r="C938" s="15"/>
      <c r="F938" s="15"/>
      <c r="G938" s="15"/>
      <c r="K938" s="15"/>
    </row>
    <row r="939" ht="15.75" customHeight="1">
      <c r="C939" s="15"/>
      <c r="F939" s="15"/>
      <c r="G939" s="15"/>
      <c r="K939" s="15"/>
    </row>
    <row r="940" ht="15.75" customHeight="1">
      <c r="C940" s="15"/>
      <c r="F940" s="15"/>
      <c r="G940" s="15"/>
      <c r="K940" s="15"/>
    </row>
    <row r="941" ht="15.75" customHeight="1">
      <c r="C941" s="15"/>
      <c r="F941" s="15"/>
      <c r="G941" s="15"/>
      <c r="K941" s="15"/>
    </row>
    <row r="942" ht="15.75" customHeight="1">
      <c r="C942" s="15"/>
      <c r="F942" s="15"/>
      <c r="G942" s="15"/>
      <c r="K942" s="15"/>
    </row>
    <row r="943" ht="15.75" customHeight="1">
      <c r="C943" s="15"/>
      <c r="F943" s="15"/>
      <c r="G943" s="15"/>
      <c r="K943" s="15"/>
    </row>
    <row r="944" ht="15.75" customHeight="1">
      <c r="C944" s="15"/>
      <c r="F944" s="15"/>
      <c r="G944" s="15"/>
      <c r="K944" s="15"/>
    </row>
    <row r="945" ht="15.75" customHeight="1">
      <c r="C945" s="15"/>
      <c r="F945" s="15"/>
      <c r="G945" s="15"/>
      <c r="K945" s="15"/>
    </row>
    <row r="946" ht="15.75" customHeight="1">
      <c r="C946" s="15"/>
      <c r="F946" s="15"/>
      <c r="G946" s="15"/>
      <c r="K946" s="15"/>
    </row>
    <row r="947" ht="15.75" customHeight="1">
      <c r="C947" s="15"/>
      <c r="F947" s="15"/>
      <c r="G947" s="15"/>
      <c r="K947" s="15"/>
    </row>
    <row r="948" ht="15.75" customHeight="1">
      <c r="C948" s="15"/>
      <c r="F948" s="15"/>
      <c r="G948" s="15"/>
      <c r="K948" s="15"/>
    </row>
    <row r="949" ht="15.75" customHeight="1">
      <c r="C949" s="15"/>
      <c r="F949" s="15"/>
      <c r="G949" s="15"/>
      <c r="K949" s="15"/>
    </row>
    <row r="950" ht="15.75" customHeight="1">
      <c r="C950" s="15"/>
      <c r="F950" s="15"/>
      <c r="G950" s="15"/>
      <c r="K950" s="15"/>
    </row>
    <row r="951" ht="15.75" customHeight="1">
      <c r="C951" s="15"/>
      <c r="F951" s="15"/>
      <c r="G951" s="15"/>
      <c r="K951" s="15"/>
    </row>
    <row r="952" ht="15.75" customHeight="1">
      <c r="C952" s="15"/>
      <c r="F952" s="15"/>
      <c r="G952" s="15"/>
      <c r="K952" s="15"/>
    </row>
    <row r="953" ht="15.75" customHeight="1">
      <c r="C953" s="15"/>
      <c r="F953" s="15"/>
      <c r="G953" s="15"/>
      <c r="K953" s="15"/>
    </row>
    <row r="954" ht="15.75" customHeight="1">
      <c r="C954" s="15"/>
      <c r="F954" s="15"/>
      <c r="G954" s="15"/>
      <c r="K954" s="15"/>
    </row>
    <row r="955" ht="15.75" customHeight="1">
      <c r="C955" s="15"/>
      <c r="F955" s="15"/>
      <c r="G955" s="15"/>
      <c r="K955" s="15"/>
    </row>
    <row r="956" ht="15.75" customHeight="1">
      <c r="C956" s="15"/>
      <c r="F956" s="15"/>
      <c r="G956" s="15"/>
      <c r="K956" s="15"/>
    </row>
    <row r="957" ht="15.75" customHeight="1">
      <c r="C957" s="15"/>
      <c r="F957" s="15"/>
      <c r="G957" s="15"/>
      <c r="K957" s="15"/>
    </row>
    <row r="958" ht="15.75" customHeight="1">
      <c r="C958" s="15"/>
      <c r="F958" s="15"/>
      <c r="G958" s="15"/>
      <c r="K958" s="15"/>
    </row>
    <row r="959" ht="15.75" customHeight="1">
      <c r="C959" s="15"/>
      <c r="F959" s="15"/>
      <c r="G959" s="15"/>
      <c r="K959" s="15"/>
    </row>
    <row r="960" ht="15.75" customHeight="1">
      <c r="C960" s="15"/>
      <c r="F960" s="15"/>
      <c r="G960" s="15"/>
      <c r="K960" s="15"/>
    </row>
    <row r="961" ht="15.75" customHeight="1">
      <c r="C961" s="15"/>
      <c r="F961" s="15"/>
      <c r="G961" s="15"/>
      <c r="K961" s="15"/>
    </row>
    <row r="962" ht="15.75" customHeight="1">
      <c r="C962" s="15"/>
      <c r="F962" s="15"/>
      <c r="G962" s="15"/>
      <c r="K962" s="15"/>
    </row>
    <row r="963" ht="15.75" customHeight="1">
      <c r="C963" s="15"/>
      <c r="F963" s="15"/>
      <c r="G963" s="15"/>
      <c r="K963" s="15"/>
    </row>
    <row r="964" ht="15.75" customHeight="1">
      <c r="C964" s="15"/>
      <c r="F964" s="15"/>
      <c r="G964" s="15"/>
      <c r="K964" s="15"/>
    </row>
    <row r="965" ht="15.75" customHeight="1">
      <c r="C965" s="15"/>
      <c r="F965" s="15"/>
      <c r="G965" s="15"/>
      <c r="K965" s="15"/>
    </row>
    <row r="966" ht="15.75" customHeight="1">
      <c r="C966" s="15"/>
      <c r="F966" s="15"/>
      <c r="G966" s="15"/>
      <c r="K966" s="15"/>
    </row>
    <row r="967" ht="15.75" customHeight="1">
      <c r="C967" s="15"/>
      <c r="F967" s="15"/>
      <c r="G967" s="15"/>
      <c r="K967" s="15"/>
    </row>
    <row r="968" ht="15.75" customHeight="1">
      <c r="C968" s="15"/>
      <c r="F968" s="15"/>
      <c r="G968" s="15"/>
      <c r="K968" s="15"/>
    </row>
    <row r="969" ht="15.75" customHeight="1">
      <c r="C969" s="15"/>
      <c r="F969" s="15"/>
      <c r="G969" s="15"/>
      <c r="K969" s="15"/>
    </row>
    <row r="970" ht="15.75" customHeight="1">
      <c r="C970" s="15"/>
      <c r="F970" s="15"/>
      <c r="G970" s="15"/>
      <c r="K970" s="15"/>
    </row>
    <row r="971" ht="15.75" customHeight="1">
      <c r="C971" s="15"/>
      <c r="F971" s="15"/>
      <c r="G971" s="15"/>
      <c r="K971" s="15"/>
    </row>
    <row r="972" ht="15.75" customHeight="1">
      <c r="C972" s="15"/>
      <c r="F972" s="15"/>
      <c r="G972" s="15"/>
      <c r="K972" s="15"/>
    </row>
    <row r="973" ht="15.75" customHeight="1">
      <c r="C973" s="15"/>
      <c r="F973" s="15"/>
      <c r="G973" s="15"/>
      <c r="K973" s="15"/>
    </row>
    <row r="974" ht="15.75" customHeight="1">
      <c r="C974" s="15"/>
      <c r="F974" s="15"/>
      <c r="G974" s="15"/>
      <c r="K974" s="15"/>
    </row>
    <row r="975" ht="15.75" customHeight="1">
      <c r="C975" s="15"/>
      <c r="F975" s="15"/>
      <c r="G975" s="15"/>
      <c r="K975" s="15"/>
    </row>
    <row r="976" ht="15.75" customHeight="1">
      <c r="C976" s="15"/>
      <c r="F976" s="15"/>
      <c r="G976" s="15"/>
      <c r="K976" s="15"/>
    </row>
    <row r="977" ht="15.75" customHeight="1">
      <c r="C977" s="15"/>
      <c r="F977" s="15"/>
      <c r="G977" s="15"/>
      <c r="K977" s="15"/>
    </row>
    <row r="978" ht="15.75" customHeight="1">
      <c r="C978" s="15"/>
      <c r="F978" s="15"/>
      <c r="G978" s="15"/>
      <c r="K978" s="15"/>
    </row>
    <row r="979" ht="15.75" customHeight="1">
      <c r="C979" s="15"/>
      <c r="F979" s="15"/>
      <c r="G979" s="15"/>
      <c r="K979" s="15"/>
    </row>
    <row r="980" ht="15.75" customHeight="1">
      <c r="C980" s="15"/>
      <c r="F980" s="15"/>
      <c r="G980" s="15"/>
      <c r="K980" s="15"/>
    </row>
    <row r="981" ht="15.75" customHeight="1">
      <c r="C981" s="15"/>
      <c r="F981" s="15"/>
      <c r="G981" s="15"/>
      <c r="K981" s="15"/>
    </row>
    <row r="982" ht="15.75" customHeight="1">
      <c r="C982" s="15"/>
      <c r="F982" s="15"/>
      <c r="G982" s="15"/>
      <c r="K982" s="15"/>
    </row>
    <row r="983" ht="15.75" customHeight="1">
      <c r="C983" s="15"/>
      <c r="F983" s="15"/>
      <c r="G983" s="15"/>
      <c r="K983" s="15"/>
    </row>
    <row r="984" ht="15.75" customHeight="1">
      <c r="C984" s="15"/>
      <c r="F984" s="15"/>
      <c r="G984" s="15"/>
      <c r="K984" s="15"/>
    </row>
    <row r="985" ht="15.75" customHeight="1">
      <c r="C985" s="15"/>
      <c r="F985" s="15"/>
      <c r="G985" s="15"/>
      <c r="K985" s="15"/>
    </row>
    <row r="986" ht="15.75" customHeight="1">
      <c r="C986" s="15"/>
      <c r="F986" s="15"/>
      <c r="G986" s="15"/>
      <c r="K986" s="15"/>
    </row>
    <row r="987" ht="15.75" customHeight="1">
      <c r="C987" s="15"/>
      <c r="F987" s="15"/>
      <c r="G987" s="15"/>
      <c r="K987" s="15"/>
    </row>
    <row r="988" ht="15.75" customHeight="1">
      <c r="C988" s="15"/>
      <c r="F988" s="15"/>
      <c r="G988" s="15"/>
      <c r="K988" s="15"/>
    </row>
    <row r="989" ht="15.75" customHeight="1">
      <c r="C989" s="15"/>
      <c r="F989" s="15"/>
      <c r="G989" s="15"/>
      <c r="K989" s="15"/>
    </row>
    <row r="990" ht="15.75" customHeight="1">
      <c r="C990" s="15"/>
      <c r="F990" s="15"/>
      <c r="G990" s="15"/>
      <c r="K990" s="15"/>
    </row>
    <row r="991" ht="15.75" customHeight="1">
      <c r="C991" s="15"/>
      <c r="F991" s="15"/>
      <c r="G991" s="15"/>
      <c r="K991" s="15"/>
    </row>
    <row r="992" ht="15.75" customHeight="1">
      <c r="C992" s="15"/>
      <c r="F992" s="15"/>
      <c r="G992" s="15"/>
      <c r="K992" s="15"/>
    </row>
    <row r="993" ht="15.75" customHeight="1">
      <c r="C993" s="15"/>
      <c r="F993" s="15"/>
      <c r="G993" s="15"/>
      <c r="K993" s="15"/>
    </row>
    <row r="994" ht="15.75" customHeight="1">
      <c r="C994" s="15"/>
      <c r="F994" s="15"/>
      <c r="G994" s="15"/>
      <c r="K994" s="15"/>
    </row>
    <row r="995" ht="15.75" customHeight="1">
      <c r="C995" s="15"/>
      <c r="F995" s="15"/>
      <c r="G995" s="15"/>
      <c r="K995" s="15"/>
    </row>
    <row r="996" ht="15.75" customHeight="1">
      <c r="C996" s="15"/>
      <c r="F996" s="15"/>
      <c r="G996" s="15"/>
      <c r="K996" s="15"/>
    </row>
    <row r="997" ht="15.75" customHeight="1">
      <c r="C997" s="15"/>
      <c r="F997" s="15"/>
      <c r="G997" s="15"/>
      <c r="K997" s="15"/>
    </row>
    <row r="998" ht="15.75" customHeight="1">
      <c r="C998" s="15"/>
      <c r="F998" s="15"/>
      <c r="G998" s="15"/>
      <c r="K998" s="15"/>
    </row>
    <row r="999" ht="15.75" customHeight="1">
      <c r="C999" s="15"/>
      <c r="F999" s="15"/>
      <c r="G999" s="15"/>
      <c r="K999" s="15"/>
    </row>
    <row r="1000" ht="15.75" customHeight="1">
      <c r="C1000" s="15"/>
      <c r="F1000" s="15"/>
      <c r="G1000" s="15"/>
      <c r="K1000" s="15"/>
    </row>
  </sheetData>
  <printOptions/>
  <pageMargins bottom="0.75" footer="0.0" header="0.0" left="0.7" right="0.7" top="0.75"/>
  <pageSetup orientation="landscape"/>
  <drawing r:id="rId1"/>
</worksheet>
</file>