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3 of Fall 21" sheetId="1" r:id="rId4"/>
    <sheet state="visible" name="SR Cost" sheetId="2" r:id="rId5"/>
    <sheet state="visible" name="Tutorial SR cost(TC,Q given)" sheetId="3" r:id="rId6"/>
  </sheets>
  <definedNames/>
  <calcPr/>
</workbook>
</file>

<file path=xl/sharedStrings.xml><?xml version="1.0" encoding="utf-8"?>
<sst xmlns="http://schemas.openxmlformats.org/spreadsheetml/2006/main" count="60" uniqueCount="35">
  <si>
    <t>Watchshop is a watch manufacturing company that sells low-end wrist wacthes. They hire labour at the rate of tk. 4246.0 per worker and their fixed cost is equal to tk. 10967.0 per week. The table below is the product schedule of Watchshop</t>
  </si>
  <si>
    <t>Labour(workers hire per week)</t>
  </si>
  <si>
    <t>Output(product per week)</t>
  </si>
  <si>
    <t>TFC</t>
  </si>
  <si>
    <t>TVC</t>
  </si>
  <si>
    <t>TC</t>
  </si>
  <si>
    <t>Marginal Cost</t>
  </si>
  <si>
    <t>I</t>
  </si>
  <si>
    <t>Q</t>
  </si>
  <si>
    <t>TVC= from the condition, Wage*Labour</t>
  </si>
  <si>
    <t>TC=TFC+TVC</t>
  </si>
  <si>
    <t>MC= dTC/dQ</t>
  </si>
  <si>
    <t>AFC=TFC/Q</t>
  </si>
  <si>
    <t>AVC=TVC/Q</t>
  </si>
  <si>
    <t>ATC=AFC+AVC</t>
  </si>
  <si>
    <t>ATC=TC/Q</t>
  </si>
  <si>
    <t>(a) What is the total cost, when output is 131.0?</t>
  </si>
  <si>
    <t>(b) What is the marginal cost per unit when we move from output 201.0 to output 221.0?</t>
  </si>
  <si>
    <t>(c) Consider that Watchshop is operating in its range of diseconomies of scale. At that level of output, the slope of its LRAC curve is</t>
  </si>
  <si>
    <t>Ans- positive</t>
  </si>
  <si>
    <t>Short Run Cost solve, page 259 of textbook</t>
  </si>
  <si>
    <t>Labour</t>
  </si>
  <si>
    <t>Output</t>
  </si>
  <si>
    <t>Total Fixed Cost</t>
  </si>
  <si>
    <t>Total Variable Cost</t>
  </si>
  <si>
    <t>Total Cost</t>
  </si>
  <si>
    <t>Average Fixed Cost</t>
  </si>
  <si>
    <t>Average Variable Cost</t>
  </si>
  <si>
    <t>Average Total Cost</t>
  </si>
  <si>
    <t>TVC= from the condition, L abour* TFC</t>
  </si>
  <si>
    <t>Only Qty and TC given</t>
  </si>
  <si>
    <t>FC is the initial TC, as at initial the VC is 0</t>
  </si>
  <si>
    <t>Qty</t>
  </si>
  <si>
    <t>TFC( Initial total cost )</t>
  </si>
  <si>
    <t>TVC= TC-TFC</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</si>
</sst>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C00000"/>
      <name val="Calibri"/>
      <scheme val="minor"/>
    </font>
    <font>
      <sz val="11.0"/>
      <color rgb="FF002060"/>
      <name val="Calibri"/>
      <scheme val="minor"/>
    </font>
    <font>
      <b/>
      <sz val="11.0"/>
      <color theme="1"/>
      <name val="Calibri"/>
      <scheme val="minor"/>
    </font>
    <font>
      <b/>
      <sz val="11.0"/>
      <color rgb="FFC00000"/>
      <name val="Calibri"/>
      <scheme val="minor"/>
    </font>
    <font>
      <b/>
      <sz val="11.0"/>
      <color rgb="FF002060"/>
      <name val="Calibri"/>
      <scheme val="minor"/>
    </font>
    <font>
      <sz val="12.0"/>
      <color rgb="FF313131"/>
      <name val="Quattrocento Sans"/>
    </font>
    <font>
      <b/>
      <sz val="11.0"/>
      <color rgb="FFC00000"/>
      <name val="Arial Black"/>
    </font>
    <font>
      <b/>
      <sz val="11.0"/>
      <color rgb="FF002060"/>
      <name val="Arial Black"/>
    </font>
    <font>
      <sz val="14.0"/>
      <color rgb="FF313131"/>
      <name val="Times New Roman"/>
    </font>
    <font>
      <color theme="1"/>
      <name val="Calibri"/>
      <scheme val="minor"/>
    </font>
    <font>
      <sz val="11.0"/>
      <color rgb="FF1E4E79"/>
      <name val="Calibri"/>
      <scheme val="minor"/>
    </font>
    <font>
      <b/>
      <sz val="11.0"/>
      <color rgb="FFFF0000"/>
      <name val="Calibri"/>
      <scheme val="minor"/>
    </font>
    <font>
      <b/>
      <sz val="11.0"/>
      <color rgb="FF1E4E79"/>
      <name val="Calibri"/>
      <scheme val="minor"/>
    </font>
  </fonts>
  <fills count="4">
    <fill>
      <patternFill patternType="none"/>
    </fill>
    <fill>
      <patternFill patternType="lightGray"/>
    </fill>
    <fill>
      <patternFill patternType="solid">
        <fgColor theme="0"/>
        <bgColor theme="0"/>
      </patternFill>
    </fill>
    <fill>
      <patternFill patternType="solid">
        <fgColor rgb="FFFFFF00"/>
        <bgColor rgb="FFFFFF00"/>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0" numFmtId="0" xfId="0" applyFont="1"/>
    <xf borderId="0" fillId="0" fontId="1" numFmtId="0" xfId="0" applyFont="1"/>
    <xf borderId="0" fillId="0" fontId="2" numFmtId="0" xfId="0" applyFont="1"/>
    <xf borderId="1" fillId="2" fontId="0" numFmtId="0" xfId="0" applyBorder="1" applyFill="1" applyFont="1"/>
    <xf borderId="1" fillId="2" fontId="1" numFmtId="0" xfId="0" applyBorder="1" applyFont="1"/>
    <xf borderId="1" fillId="2" fontId="2" numFmtId="0" xfId="0" applyBorder="1" applyFont="1"/>
    <xf borderId="2" fillId="0" fontId="0" numFmtId="0" xfId="0" applyBorder="1" applyFont="1"/>
    <xf borderId="2" fillId="3" fontId="0" numFmtId="0" xfId="0" applyBorder="1" applyFill="1" applyFont="1"/>
    <xf borderId="2" fillId="3" fontId="1" numFmtId="0" xfId="0" applyBorder="1" applyFont="1"/>
    <xf borderId="2" fillId="3" fontId="2" numFmtId="0" xfId="0" applyBorder="1" applyFont="1"/>
    <xf borderId="2" fillId="0" fontId="3" numFmtId="0" xfId="0" applyBorder="1" applyFont="1"/>
    <xf borderId="2" fillId="3" fontId="3" numFmtId="0" xfId="0" applyBorder="1" applyFont="1"/>
    <xf borderId="2" fillId="3" fontId="4" numFmtId="0" xfId="0" applyBorder="1" applyFont="1"/>
    <xf borderId="2" fillId="3" fontId="5" numFmtId="0" xfId="0" applyBorder="1" applyFont="1"/>
    <xf borderId="0" fillId="0" fontId="6" numFmtId="0" xfId="0" applyFont="1"/>
    <xf borderId="2" fillId="3" fontId="7" numFmtId="0" xfId="0" applyBorder="1" applyFont="1"/>
    <xf borderId="2" fillId="3" fontId="8" numFmtId="0" xfId="0" applyBorder="1" applyFont="1"/>
    <xf borderId="3" fillId="3" fontId="0" numFmtId="0" xfId="0" applyBorder="1" applyFont="1"/>
    <xf borderId="4" fillId="3" fontId="0" numFmtId="0" xfId="0" applyBorder="1" applyFont="1"/>
    <xf borderId="0" fillId="0" fontId="9" numFmtId="0" xfId="0" applyFont="1"/>
    <xf borderId="0" fillId="0" fontId="10" numFmtId="0" xfId="0" applyFont="1"/>
    <xf borderId="0" fillId="0" fontId="3" numFmtId="0" xfId="0" applyFont="1"/>
    <xf borderId="0" fillId="0" fontId="11" numFmtId="0" xfId="0" applyFont="1"/>
    <xf borderId="0" fillId="0" fontId="12" numFmtId="0" xfId="0" applyFont="1"/>
    <xf borderId="0" fillId="0" fontId="13" numFmtId="0" xfId="0" applyFont="1"/>
    <xf borderId="0" fillId="0" fontId="0"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8.29"/>
    <col customWidth="1" min="3" max="3" width="24.43"/>
    <col customWidth="1" min="4" max="4" width="9.14"/>
    <col customWidth="1" min="5" max="5" width="35.43"/>
    <col customWidth="1" min="6" max="6" width="11.71"/>
    <col customWidth="1" min="7" max="7" width="14.14"/>
    <col customWidth="1" min="8" max="8" width="11.0"/>
    <col customWidth="1" min="9" max="9" width="13.29"/>
    <col customWidth="1" min="10" max="10" width="13.86"/>
    <col customWidth="1" min="11" max="11" width="11.43"/>
    <col customWidth="1" min="12" max="26" width="8.71"/>
  </cols>
  <sheetData>
    <row r="1">
      <c r="D1" s="1"/>
      <c r="F1" s="2"/>
      <c r="G1" s="3"/>
    </row>
    <row r="2">
      <c r="D2" s="1"/>
      <c r="F2" s="2"/>
      <c r="G2" s="3"/>
    </row>
    <row r="3">
      <c r="B3" s="4" t="s">
        <v>0</v>
      </c>
      <c r="C3" s="4"/>
      <c r="D3" s="1"/>
      <c r="E3" s="4"/>
      <c r="F3" s="5"/>
      <c r="G3" s="6"/>
      <c r="H3" s="4"/>
      <c r="I3" s="4"/>
    </row>
    <row r="4">
      <c r="B4" s="4"/>
      <c r="C4" s="4"/>
      <c r="D4" s="1"/>
      <c r="E4" s="4"/>
      <c r="F4" s="5"/>
      <c r="G4" s="6"/>
      <c r="H4" s="4"/>
      <c r="I4" s="4"/>
    </row>
    <row r="5">
      <c r="A5" s="4"/>
      <c r="D5" s="1"/>
      <c r="F5" s="2"/>
      <c r="G5" s="3"/>
      <c r="J5" s="4"/>
      <c r="K5" s="4"/>
    </row>
    <row r="6">
      <c r="A6" s="4"/>
      <c r="D6" s="1"/>
      <c r="F6" s="2"/>
      <c r="G6" s="3"/>
      <c r="J6" s="4"/>
      <c r="K6" s="4"/>
    </row>
    <row r="7">
      <c r="B7" s="7" t="s">
        <v>1</v>
      </c>
      <c r="C7" s="7" t="s">
        <v>2</v>
      </c>
      <c r="D7" s="7" t="s">
        <v>3</v>
      </c>
      <c r="E7" s="8" t="s">
        <v>4</v>
      </c>
      <c r="F7" s="9" t="s">
        <v>5</v>
      </c>
      <c r="G7" s="10" t="s">
        <v>6</v>
      </c>
      <c r="H7" s="8"/>
      <c r="I7" s="8"/>
      <c r="J7" s="8"/>
      <c r="K7" s="8"/>
    </row>
    <row r="8">
      <c r="B8" s="11" t="s">
        <v>7</v>
      </c>
      <c r="C8" s="11" t="s">
        <v>8</v>
      </c>
      <c r="D8" s="11" t="s">
        <v>3</v>
      </c>
      <c r="E8" s="12" t="s">
        <v>9</v>
      </c>
      <c r="F8" s="13" t="s">
        <v>10</v>
      </c>
      <c r="G8" s="14" t="s">
        <v>11</v>
      </c>
      <c r="H8" s="12" t="s">
        <v>12</v>
      </c>
      <c r="I8" s="12" t="s">
        <v>13</v>
      </c>
      <c r="J8" s="12" t="s">
        <v>14</v>
      </c>
      <c r="K8" s="12" t="s">
        <v>15</v>
      </c>
    </row>
    <row r="9">
      <c r="B9" s="7"/>
      <c r="C9" s="7"/>
      <c r="D9" s="7"/>
      <c r="E9" s="8"/>
      <c r="F9" s="9"/>
      <c r="G9" s="10"/>
      <c r="H9" s="8"/>
      <c r="I9" s="8"/>
      <c r="J9" s="8"/>
      <c r="K9" s="8"/>
    </row>
    <row r="10">
      <c r="B10" s="7">
        <v>1.0</v>
      </c>
      <c r="C10" s="7">
        <v>41.0</v>
      </c>
      <c r="D10" s="15">
        <v>10967.0</v>
      </c>
      <c r="E10" s="8">
        <f t="shared" ref="E10:E16" si="1">(B10*4246)</f>
        <v>4246</v>
      </c>
      <c r="F10" s="9">
        <f t="shared" ref="F10:F16" si="2">D10+E10</f>
        <v>15213</v>
      </c>
      <c r="G10" s="10">
        <f t="shared" ref="G10:G16" si="3">(F10-F9)/(C10-C9)</f>
        <v>371.0487805</v>
      </c>
      <c r="H10" s="8">
        <f t="shared" ref="H10:H16" si="4">D10/C10</f>
        <v>267.4878049</v>
      </c>
      <c r="I10" s="8">
        <f t="shared" ref="I10:I16" si="5">E10/C10</f>
        <v>103.5609756</v>
      </c>
      <c r="J10" s="8">
        <f t="shared" ref="J10:J16" si="6">H10+I10</f>
        <v>371.0487805</v>
      </c>
      <c r="K10" s="8">
        <f t="shared" ref="K10:K16" si="7">F10/C10</f>
        <v>371.0487805</v>
      </c>
    </row>
    <row r="11">
      <c r="B11" s="7">
        <v>2.0</v>
      </c>
      <c r="C11" s="7">
        <v>81.0</v>
      </c>
      <c r="D11" s="15">
        <v>10967.0</v>
      </c>
      <c r="E11" s="8">
        <f t="shared" si="1"/>
        <v>8492</v>
      </c>
      <c r="F11" s="9">
        <f t="shared" si="2"/>
        <v>19459</v>
      </c>
      <c r="G11" s="10">
        <f t="shared" si="3"/>
        <v>106.15</v>
      </c>
      <c r="H11" s="8">
        <f t="shared" si="4"/>
        <v>135.3950617</v>
      </c>
      <c r="I11" s="8">
        <f t="shared" si="5"/>
        <v>104.8395062</v>
      </c>
      <c r="J11" s="8">
        <f t="shared" si="6"/>
        <v>240.2345679</v>
      </c>
      <c r="K11" s="8">
        <f t="shared" si="7"/>
        <v>240.2345679</v>
      </c>
    </row>
    <row r="12">
      <c r="B12" s="7">
        <v>3.0</v>
      </c>
      <c r="C12" s="7">
        <v>131.0</v>
      </c>
      <c r="D12" s="15">
        <v>10967.0</v>
      </c>
      <c r="E12" s="8">
        <f t="shared" si="1"/>
        <v>12738</v>
      </c>
      <c r="F12" s="16">
        <f t="shared" si="2"/>
        <v>23705</v>
      </c>
      <c r="G12" s="10">
        <f t="shared" si="3"/>
        <v>84.92</v>
      </c>
      <c r="H12" s="8">
        <f t="shared" si="4"/>
        <v>83.71755725</v>
      </c>
      <c r="I12" s="8">
        <f t="shared" si="5"/>
        <v>97.23664122</v>
      </c>
      <c r="J12" s="8">
        <f t="shared" si="6"/>
        <v>180.9541985</v>
      </c>
      <c r="K12" s="8">
        <f t="shared" si="7"/>
        <v>180.9541985</v>
      </c>
    </row>
    <row r="13">
      <c r="B13" s="7">
        <v>4.0</v>
      </c>
      <c r="C13" s="7">
        <v>171.0</v>
      </c>
      <c r="D13" s="15">
        <v>10967.0</v>
      </c>
      <c r="E13" s="8">
        <f t="shared" si="1"/>
        <v>16984</v>
      </c>
      <c r="F13" s="9">
        <f t="shared" si="2"/>
        <v>27951</v>
      </c>
      <c r="G13" s="10">
        <f t="shared" si="3"/>
        <v>106.15</v>
      </c>
      <c r="H13" s="8">
        <f t="shared" si="4"/>
        <v>64.13450292</v>
      </c>
      <c r="I13" s="8">
        <f t="shared" si="5"/>
        <v>99.32163743</v>
      </c>
      <c r="J13" s="8">
        <f t="shared" si="6"/>
        <v>163.4561404</v>
      </c>
      <c r="K13" s="8">
        <f t="shared" si="7"/>
        <v>163.4561404</v>
      </c>
    </row>
    <row r="14">
      <c r="B14" s="7">
        <v>5.0</v>
      </c>
      <c r="C14" s="7">
        <v>201.0</v>
      </c>
      <c r="D14" s="15">
        <v>10967.0</v>
      </c>
      <c r="E14" s="8">
        <f t="shared" si="1"/>
        <v>21230</v>
      </c>
      <c r="F14" s="9">
        <f t="shared" si="2"/>
        <v>32197</v>
      </c>
      <c r="G14" s="10">
        <f t="shared" si="3"/>
        <v>141.5333333</v>
      </c>
      <c r="H14" s="8">
        <f t="shared" si="4"/>
        <v>54.56218905</v>
      </c>
      <c r="I14" s="8">
        <f t="shared" si="5"/>
        <v>105.6218905</v>
      </c>
      <c r="J14" s="8">
        <f t="shared" si="6"/>
        <v>160.1840796</v>
      </c>
      <c r="K14" s="8">
        <f t="shared" si="7"/>
        <v>160.1840796</v>
      </c>
    </row>
    <row r="15">
      <c r="B15" s="7">
        <v>6.0</v>
      </c>
      <c r="C15" s="7">
        <v>221.0</v>
      </c>
      <c r="D15" s="15">
        <v>10967.0</v>
      </c>
      <c r="E15" s="8">
        <f t="shared" si="1"/>
        <v>25476</v>
      </c>
      <c r="F15" s="9">
        <f t="shared" si="2"/>
        <v>36443</v>
      </c>
      <c r="G15" s="17">
        <f t="shared" si="3"/>
        <v>212.3</v>
      </c>
      <c r="H15" s="18">
        <f t="shared" si="4"/>
        <v>49.62443439</v>
      </c>
      <c r="I15" s="18">
        <f t="shared" si="5"/>
        <v>115.2760181</v>
      </c>
      <c r="J15" s="18">
        <f t="shared" si="6"/>
        <v>164.9004525</v>
      </c>
      <c r="K15" s="18">
        <f t="shared" si="7"/>
        <v>164.9004525</v>
      </c>
    </row>
    <row r="16">
      <c r="B16" s="7">
        <v>7.0</v>
      </c>
      <c r="C16" s="7">
        <v>231.0</v>
      </c>
      <c r="D16" s="15">
        <v>10967.0</v>
      </c>
      <c r="E16" s="8">
        <f t="shared" si="1"/>
        <v>29722</v>
      </c>
      <c r="F16" s="9">
        <f t="shared" si="2"/>
        <v>40689</v>
      </c>
      <c r="G16" s="10">
        <f t="shared" si="3"/>
        <v>424.6</v>
      </c>
      <c r="H16" s="8">
        <f t="shared" si="4"/>
        <v>47.47619048</v>
      </c>
      <c r="I16" s="19">
        <f t="shared" si="5"/>
        <v>128.6666667</v>
      </c>
      <c r="J16" s="8">
        <f t="shared" si="6"/>
        <v>176.1428571</v>
      </c>
      <c r="K16" s="8">
        <f t="shared" si="7"/>
        <v>176.1428571</v>
      </c>
    </row>
    <row r="17">
      <c r="D17" s="1"/>
      <c r="F17" s="2"/>
      <c r="G17" s="3"/>
    </row>
    <row r="18">
      <c r="D18" s="1"/>
      <c r="F18" s="2"/>
      <c r="G18" s="3"/>
    </row>
    <row r="19">
      <c r="B19" s="15" t="s">
        <v>16</v>
      </c>
      <c r="D19" s="2">
        <v>23705.0</v>
      </c>
      <c r="F19" s="2"/>
      <c r="G19" s="3"/>
    </row>
    <row r="20">
      <c r="D20" s="1"/>
      <c r="F20" s="2"/>
      <c r="G20" s="3"/>
    </row>
    <row r="21" ht="15.75" customHeight="1">
      <c r="B21" s="15" t="s">
        <v>17</v>
      </c>
      <c r="D21" s="1"/>
      <c r="F21" s="2">
        <v>212.3</v>
      </c>
      <c r="G21" s="3"/>
    </row>
    <row r="22" ht="15.75" customHeight="1">
      <c r="D22" s="1"/>
      <c r="F22" s="2"/>
      <c r="G22" s="3"/>
    </row>
    <row r="23" ht="15.75" customHeight="1">
      <c r="B23" s="20" t="s">
        <v>18</v>
      </c>
      <c r="D23" s="1"/>
      <c r="F23" s="2"/>
      <c r="G23" s="3"/>
    </row>
    <row r="24" ht="15.75" customHeight="1">
      <c r="B24" s="21" t="s">
        <v>19</v>
      </c>
      <c r="D24" s="1"/>
      <c r="F24" s="2"/>
      <c r="G24" s="3"/>
    </row>
    <row r="25" ht="15.75" customHeight="1">
      <c r="D25" s="1"/>
      <c r="F25" s="2"/>
      <c r="G25" s="3"/>
    </row>
    <row r="26" ht="15.75" customHeight="1">
      <c r="D26" s="1"/>
      <c r="F26" s="2"/>
      <c r="G26" s="3"/>
    </row>
    <row r="27" ht="15.75" customHeight="1">
      <c r="D27" s="1"/>
      <c r="F27" s="2"/>
      <c r="G27" s="3"/>
    </row>
    <row r="28" ht="15.75" customHeight="1">
      <c r="D28" s="1"/>
      <c r="F28" s="2"/>
      <c r="G28" s="3"/>
    </row>
    <row r="29" ht="15.75" customHeight="1">
      <c r="D29" s="1"/>
      <c r="F29" s="2"/>
      <c r="G29" s="3"/>
    </row>
    <row r="30" ht="15.75" customHeight="1">
      <c r="D30" s="1"/>
      <c r="F30" s="2"/>
      <c r="G30" s="3"/>
    </row>
    <row r="31" ht="15.75" customHeight="1">
      <c r="D31" s="1"/>
      <c r="F31" s="2"/>
      <c r="G31" s="3"/>
    </row>
    <row r="32" ht="15.75" customHeight="1">
      <c r="D32" s="1"/>
      <c r="F32" s="2"/>
      <c r="G32" s="3"/>
    </row>
    <row r="33" ht="15.75" customHeight="1">
      <c r="D33" s="1"/>
      <c r="F33" s="2"/>
      <c r="G33" s="3"/>
    </row>
    <row r="34" ht="15.75" customHeight="1">
      <c r="D34" s="1"/>
      <c r="F34" s="2"/>
      <c r="G34" s="3"/>
    </row>
    <row r="35" ht="15.75" customHeight="1">
      <c r="D35" s="1"/>
      <c r="F35" s="2"/>
      <c r="G35" s="3"/>
    </row>
    <row r="36" ht="15.75" customHeight="1">
      <c r="D36" s="1"/>
      <c r="F36" s="2"/>
      <c r="G36" s="3"/>
    </row>
    <row r="37" ht="15.75" customHeight="1">
      <c r="D37" s="1"/>
      <c r="F37" s="2"/>
      <c r="G37" s="3"/>
    </row>
    <row r="38" ht="15.75" customHeight="1">
      <c r="D38" s="1"/>
      <c r="F38" s="2"/>
      <c r="G38" s="3"/>
    </row>
    <row r="39" ht="15.75" customHeight="1">
      <c r="D39" s="1"/>
      <c r="F39" s="2"/>
      <c r="G39" s="3"/>
    </row>
    <row r="40" ht="15.75" customHeight="1">
      <c r="D40" s="1"/>
      <c r="F40" s="2"/>
      <c r="G40" s="3"/>
    </row>
    <row r="41" ht="15.75" customHeight="1">
      <c r="D41" s="1"/>
      <c r="F41" s="2"/>
      <c r="G41" s="3"/>
    </row>
    <row r="42" ht="15.75" customHeight="1">
      <c r="D42" s="1"/>
      <c r="F42" s="2"/>
      <c r="G42" s="3"/>
    </row>
    <row r="43" ht="15.75" customHeight="1">
      <c r="D43" s="1"/>
      <c r="F43" s="2"/>
      <c r="G43" s="3"/>
    </row>
    <row r="44" ht="15.75" customHeight="1">
      <c r="D44" s="1"/>
      <c r="F44" s="2"/>
      <c r="G44" s="3"/>
    </row>
    <row r="45" ht="15.75" customHeight="1">
      <c r="D45" s="1"/>
      <c r="F45" s="2"/>
      <c r="G45" s="3"/>
    </row>
    <row r="46" ht="15.75" customHeight="1">
      <c r="D46" s="1"/>
      <c r="F46" s="2"/>
      <c r="G46" s="3"/>
    </row>
    <row r="47" ht="15.75" customHeight="1">
      <c r="D47" s="1"/>
      <c r="F47" s="2"/>
      <c r="G47" s="3"/>
    </row>
    <row r="48" ht="15.75" customHeight="1">
      <c r="D48" s="1"/>
      <c r="F48" s="2"/>
      <c r="G48" s="3"/>
    </row>
    <row r="49" ht="15.75" customHeight="1">
      <c r="D49" s="1"/>
      <c r="F49" s="2"/>
      <c r="G49" s="3"/>
    </row>
    <row r="50" ht="15.75" customHeight="1">
      <c r="D50" s="1"/>
      <c r="F50" s="2"/>
      <c r="G50" s="3"/>
    </row>
    <row r="51" ht="15.75" customHeight="1">
      <c r="D51" s="1"/>
      <c r="F51" s="2"/>
      <c r="G51" s="3"/>
    </row>
    <row r="52" ht="15.75" customHeight="1">
      <c r="D52" s="1"/>
      <c r="F52" s="2"/>
      <c r="G52" s="3"/>
    </row>
    <row r="53" ht="15.75" customHeight="1">
      <c r="D53" s="1"/>
      <c r="F53" s="2"/>
      <c r="G53" s="3"/>
    </row>
    <row r="54" ht="15.75" customHeight="1">
      <c r="D54" s="1"/>
      <c r="F54" s="2"/>
      <c r="G54" s="3"/>
    </row>
    <row r="55" ht="15.75" customHeight="1">
      <c r="D55" s="1"/>
      <c r="F55" s="2"/>
      <c r="G55" s="3"/>
    </row>
    <row r="56" ht="15.75" customHeight="1">
      <c r="D56" s="1"/>
      <c r="F56" s="2"/>
      <c r="G56" s="3"/>
    </row>
    <row r="57" ht="15.75" customHeight="1">
      <c r="D57" s="1"/>
      <c r="F57" s="2"/>
      <c r="G57" s="3"/>
    </row>
    <row r="58" ht="15.75" customHeight="1">
      <c r="D58" s="1"/>
      <c r="F58" s="2"/>
      <c r="G58" s="3"/>
    </row>
    <row r="59" ht="15.75" customHeight="1">
      <c r="D59" s="1"/>
      <c r="F59" s="2"/>
      <c r="G59" s="3"/>
    </row>
    <row r="60" ht="15.75" customHeight="1">
      <c r="D60" s="1"/>
      <c r="F60" s="2"/>
      <c r="G60" s="3"/>
    </row>
    <row r="61" ht="15.75" customHeight="1">
      <c r="D61" s="1"/>
      <c r="F61" s="2"/>
      <c r="G61" s="3"/>
    </row>
    <row r="62" ht="15.75" customHeight="1">
      <c r="D62" s="1"/>
      <c r="F62" s="2"/>
      <c r="G62" s="3"/>
    </row>
    <row r="63" ht="15.75" customHeight="1">
      <c r="D63" s="1"/>
      <c r="F63" s="2"/>
      <c r="G63" s="3"/>
    </row>
    <row r="64" ht="15.75" customHeight="1">
      <c r="D64" s="1"/>
      <c r="F64" s="2"/>
      <c r="G64" s="3"/>
    </row>
    <row r="65" ht="15.75" customHeight="1">
      <c r="D65" s="1"/>
      <c r="F65" s="2"/>
      <c r="G65" s="3"/>
    </row>
    <row r="66" ht="15.75" customHeight="1">
      <c r="D66" s="1"/>
      <c r="F66" s="2"/>
      <c r="G66" s="3"/>
    </row>
    <row r="67" ht="15.75" customHeight="1">
      <c r="D67" s="1"/>
      <c r="F67" s="2"/>
      <c r="G67" s="3"/>
    </row>
    <row r="68" ht="15.75" customHeight="1">
      <c r="D68" s="1"/>
      <c r="F68" s="2"/>
      <c r="G68" s="3"/>
    </row>
    <row r="69" ht="15.75" customHeight="1">
      <c r="D69" s="1"/>
      <c r="F69" s="2"/>
      <c r="G69" s="3"/>
    </row>
    <row r="70" ht="15.75" customHeight="1">
      <c r="D70" s="1"/>
      <c r="F70" s="2"/>
      <c r="G70" s="3"/>
    </row>
    <row r="71" ht="15.75" customHeight="1">
      <c r="D71" s="1"/>
      <c r="F71" s="2"/>
      <c r="G71" s="3"/>
    </row>
    <row r="72" ht="15.75" customHeight="1">
      <c r="D72" s="1"/>
      <c r="F72" s="2"/>
      <c r="G72" s="3"/>
    </row>
    <row r="73" ht="15.75" customHeight="1">
      <c r="D73" s="1"/>
      <c r="F73" s="2"/>
      <c r="G73" s="3"/>
    </row>
    <row r="74" ht="15.75" customHeight="1">
      <c r="D74" s="1"/>
      <c r="F74" s="2"/>
      <c r="G74" s="3"/>
    </row>
    <row r="75" ht="15.75" customHeight="1">
      <c r="D75" s="1"/>
      <c r="F75" s="2"/>
      <c r="G75" s="3"/>
    </row>
    <row r="76" ht="15.75" customHeight="1">
      <c r="D76" s="1"/>
      <c r="F76" s="2"/>
      <c r="G76" s="3"/>
    </row>
    <row r="77" ht="15.75" customHeight="1">
      <c r="D77" s="1"/>
      <c r="F77" s="2"/>
      <c r="G77" s="3"/>
    </row>
    <row r="78" ht="15.75" customHeight="1">
      <c r="D78" s="1"/>
      <c r="F78" s="2"/>
      <c r="G78" s="3"/>
    </row>
    <row r="79" ht="15.75" customHeight="1">
      <c r="D79" s="1"/>
      <c r="F79" s="2"/>
      <c r="G79" s="3"/>
    </row>
    <row r="80" ht="15.75" customHeight="1">
      <c r="D80" s="1"/>
      <c r="F80" s="2"/>
      <c r="G80" s="3"/>
    </row>
    <row r="81" ht="15.75" customHeight="1">
      <c r="D81" s="1"/>
      <c r="F81" s="2"/>
      <c r="G81" s="3"/>
    </row>
    <row r="82" ht="15.75" customHeight="1">
      <c r="D82" s="1"/>
      <c r="F82" s="2"/>
      <c r="G82" s="3"/>
    </row>
    <row r="83" ht="15.75" customHeight="1">
      <c r="D83" s="1"/>
      <c r="F83" s="2"/>
      <c r="G83" s="3"/>
    </row>
    <row r="84" ht="15.75" customHeight="1">
      <c r="D84" s="1"/>
      <c r="F84" s="2"/>
      <c r="G84" s="3"/>
    </row>
    <row r="85" ht="15.75" customHeight="1">
      <c r="D85" s="1"/>
      <c r="F85" s="2"/>
      <c r="G85" s="3"/>
    </row>
    <row r="86" ht="15.75" customHeight="1">
      <c r="D86" s="1"/>
      <c r="F86" s="2"/>
      <c r="G86" s="3"/>
    </row>
    <row r="87" ht="15.75" customHeight="1">
      <c r="D87" s="1"/>
      <c r="F87" s="2"/>
      <c r="G87" s="3"/>
    </row>
    <row r="88" ht="15.75" customHeight="1">
      <c r="D88" s="1"/>
      <c r="F88" s="2"/>
      <c r="G88" s="3"/>
    </row>
    <row r="89" ht="15.75" customHeight="1">
      <c r="D89" s="1"/>
      <c r="F89" s="2"/>
      <c r="G89" s="3"/>
    </row>
    <row r="90" ht="15.75" customHeight="1">
      <c r="D90" s="1"/>
      <c r="F90" s="2"/>
      <c r="G90" s="3"/>
    </row>
    <row r="91" ht="15.75" customHeight="1">
      <c r="D91" s="1"/>
      <c r="F91" s="2"/>
      <c r="G91" s="3"/>
    </row>
    <row r="92" ht="15.75" customHeight="1">
      <c r="D92" s="1"/>
      <c r="F92" s="2"/>
      <c r="G92" s="3"/>
    </row>
    <row r="93" ht="15.75" customHeight="1">
      <c r="D93" s="1"/>
      <c r="F93" s="2"/>
      <c r="G93" s="3"/>
    </row>
    <row r="94" ht="15.75" customHeight="1">
      <c r="D94" s="1"/>
      <c r="F94" s="2"/>
      <c r="G94" s="3"/>
    </row>
    <row r="95" ht="15.75" customHeight="1">
      <c r="D95" s="1"/>
      <c r="F95" s="2"/>
      <c r="G95" s="3"/>
    </row>
    <row r="96" ht="15.75" customHeight="1">
      <c r="D96" s="1"/>
      <c r="F96" s="2"/>
      <c r="G96" s="3"/>
    </row>
    <row r="97" ht="15.75" customHeight="1">
      <c r="D97" s="1"/>
      <c r="F97" s="2"/>
      <c r="G97" s="3"/>
    </row>
    <row r="98" ht="15.75" customHeight="1">
      <c r="D98" s="1"/>
      <c r="F98" s="2"/>
      <c r="G98" s="3"/>
    </row>
    <row r="99" ht="15.75" customHeight="1">
      <c r="D99" s="1"/>
      <c r="F99" s="2"/>
      <c r="G99" s="3"/>
    </row>
    <row r="100" ht="15.75" customHeight="1">
      <c r="D100" s="1"/>
      <c r="F100" s="2"/>
      <c r="G100" s="3"/>
    </row>
    <row r="101" ht="15.75" customHeight="1">
      <c r="D101" s="1"/>
      <c r="F101" s="2"/>
      <c r="G101" s="3"/>
    </row>
    <row r="102" ht="15.75" customHeight="1">
      <c r="D102" s="1"/>
      <c r="F102" s="2"/>
      <c r="G102" s="3"/>
    </row>
    <row r="103" ht="15.75" customHeight="1">
      <c r="D103" s="1"/>
      <c r="F103" s="2"/>
      <c r="G103" s="3"/>
    </row>
    <row r="104" ht="15.75" customHeight="1">
      <c r="D104" s="1"/>
      <c r="F104" s="2"/>
      <c r="G104" s="3"/>
    </row>
    <row r="105" ht="15.75" customHeight="1">
      <c r="D105" s="1"/>
      <c r="F105" s="2"/>
      <c r="G105" s="3"/>
    </row>
    <row r="106" ht="15.75" customHeight="1">
      <c r="D106" s="1"/>
      <c r="F106" s="2"/>
      <c r="G106" s="3"/>
    </row>
    <row r="107" ht="15.75" customHeight="1">
      <c r="D107" s="1"/>
      <c r="F107" s="2"/>
      <c r="G107" s="3"/>
    </row>
    <row r="108" ht="15.75" customHeight="1">
      <c r="D108" s="1"/>
      <c r="F108" s="2"/>
      <c r="G108" s="3"/>
    </row>
    <row r="109" ht="15.75" customHeight="1">
      <c r="D109" s="1"/>
      <c r="F109" s="2"/>
      <c r="G109" s="3"/>
    </row>
    <row r="110" ht="15.75" customHeight="1">
      <c r="D110" s="1"/>
      <c r="F110" s="2"/>
      <c r="G110" s="3"/>
    </row>
    <row r="111" ht="15.75" customHeight="1">
      <c r="D111" s="1"/>
      <c r="F111" s="2"/>
      <c r="G111" s="3"/>
    </row>
    <row r="112" ht="15.75" customHeight="1">
      <c r="D112" s="1"/>
      <c r="F112" s="2"/>
      <c r="G112" s="3"/>
    </row>
    <row r="113" ht="15.75" customHeight="1">
      <c r="D113" s="1"/>
      <c r="F113" s="2"/>
      <c r="G113" s="3"/>
    </row>
    <row r="114" ht="15.75" customHeight="1">
      <c r="D114" s="1"/>
      <c r="F114" s="2"/>
      <c r="G114" s="3"/>
    </row>
    <row r="115" ht="15.75" customHeight="1">
      <c r="D115" s="1"/>
      <c r="F115" s="2"/>
      <c r="G115" s="3"/>
    </row>
    <row r="116" ht="15.75" customHeight="1">
      <c r="D116" s="1"/>
      <c r="F116" s="2"/>
      <c r="G116" s="3"/>
    </row>
    <row r="117" ht="15.75" customHeight="1">
      <c r="D117" s="1"/>
      <c r="F117" s="2"/>
      <c r="G117" s="3"/>
    </row>
    <row r="118" ht="15.75" customHeight="1">
      <c r="D118" s="1"/>
      <c r="F118" s="2"/>
      <c r="G118" s="3"/>
    </row>
    <row r="119" ht="15.75" customHeight="1">
      <c r="D119" s="1"/>
      <c r="F119" s="2"/>
      <c r="G119" s="3"/>
    </row>
    <row r="120" ht="15.75" customHeight="1">
      <c r="D120" s="1"/>
      <c r="F120" s="2"/>
      <c r="G120" s="3"/>
    </row>
    <row r="121" ht="15.75" customHeight="1">
      <c r="D121" s="1"/>
      <c r="F121" s="2"/>
      <c r="G121" s="3"/>
    </row>
    <row r="122" ht="15.75" customHeight="1">
      <c r="D122" s="1"/>
      <c r="F122" s="2"/>
      <c r="G122" s="3"/>
    </row>
    <row r="123" ht="15.75" customHeight="1">
      <c r="D123" s="1"/>
      <c r="F123" s="2"/>
      <c r="G123" s="3"/>
    </row>
    <row r="124" ht="15.75" customHeight="1">
      <c r="D124" s="1"/>
      <c r="F124" s="2"/>
      <c r="G124" s="3"/>
    </row>
    <row r="125" ht="15.75" customHeight="1">
      <c r="D125" s="1"/>
      <c r="F125" s="2"/>
      <c r="G125" s="3"/>
    </row>
    <row r="126" ht="15.75" customHeight="1">
      <c r="D126" s="1"/>
      <c r="F126" s="2"/>
      <c r="G126" s="3"/>
    </row>
    <row r="127" ht="15.75" customHeight="1">
      <c r="D127" s="1"/>
      <c r="F127" s="2"/>
      <c r="G127" s="3"/>
    </row>
    <row r="128" ht="15.75" customHeight="1">
      <c r="D128" s="1"/>
      <c r="F128" s="2"/>
      <c r="G128" s="3"/>
    </row>
    <row r="129" ht="15.75" customHeight="1">
      <c r="D129" s="1"/>
      <c r="F129" s="2"/>
      <c r="G129" s="3"/>
    </row>
    <row r="130" ht="15.75" customHeight="1">
      <c r="D130" s="1"/>
      <c r="F130" s="2"/>
      <c r="G130" s="3"/>
    </row>
    <row r="131" ht="15.75" customHeight="1">
      <c r="D131" s="1"/>
      <c r="F131" s="2"/>
      <c r="G131" s="3"/>
    </row>
    <row r="132" ht="15.75" customHeight="1">
      <c r="D132" s="1"/>
      <c r="F132" s="2"/>
      <c r="G132" s="3"/>
    </row>
    <row r="133" ht="15.75" customHeight="1">
      <c r="D133" s="1"/>
      <c r="F133" s="2"/>
      <c r="G133" s="3"/>
    </row>
    <row r="134" ht="15.75" customHeight="1">
      <c r="D134" s="1"/>
      <c r="F134" s="2"/>
      <c r="G134" s="3"/>
    </row>
    <row r="135" ht="15.75" customHeight="1">
      <c r="D135" s="1"/>
      <c r="F135" s="2"/>
      <c r="G135" s="3"/>
    </row>
    <row r="136" ht="15.75" customHeight="1">
      <c r="D136" s="1"/>
      <c r="F136" s="2"/>
      <c r="G136" s="3"/>
    </row>
    <row r="137" ht="15.75" customHeight="1">
      <c r="D137" s="1"/>
      <c r="F137" s="2"/>
      <c r="G137" s="3"/>
    </row>
    <row r="138" ht="15.75" customHeight="1">
      <c r="D138" s="1"/>
      <c r="F138" s="2"/>
      <c r="G138" s="3"/>
    </row>
    <row r="139" ht="15.75" customHeight="1">
      <c r="D139" s="1"/>
      <c r="F139" s="2"/>
      <c r="G139" s="3"/>
    </row>
    <row r="140" ht="15.75" customHeight="1">
      <c r="D140" s="1"/>
      <c r="F140" s="2"/>
      <c r="G140" s="3"/>
    </row>
    <row r="141" ht="15.75" customHeight="1">
      <c r="D141" s="1"/>
      <c r="F141" s="2"/>
      <c r="G141" s="3"/>
    </row>
    <row r="142" ht="15.75" customHeight="1">
      <c r="D142" s="1"/>
      <c r="F142" s="2"/>
      <c r="G142" s="3"/>
    </row>
    <row r="143" ht="15.75" customHeight="1">
      <c r="D143" s="1"/>
      <c r="F143" s="2"/>
      <c r="G143" s="3"/>
    </row>
    <row r="144" ht="15.75" customHeight="1">
      <c r="D144" s="1"/>
      <c r="F144" s="2"/>
      <c r="G144" s="3"/>
    </row>
    <row r="145" ht="15.75" customHeight="1">
      <c r="D145" s="1"/>
      <c r="F145" s="2"/>
      <c r="G145" s="3"/>
    </row>
    <row r="146" ht="15.75" customHeight="1">
      <c r="D146" s="1"/>
      <c r="F146" s="2"/>
      <c r="G146" s="3"/>
    </row>
    <row r="147" ht="15.75" customHeight="1">
      <c r="D147" s="1"/>
      <c r="F147" s="2"/>
      <c r="G147" s="3"/>
    </row>
    <row r="148" ht="15.75" customHeight="1">
      <c r="D148" s="1"/>
      <c r="F148" s="2"/>
      <c r="G148" s="3"/>
    </row>
    <row r="149" ht="15.75" customHeight="1">
      <c r="D149" s="1"/>
      <c r="F149" s="2"/>
      <c r="G149" s="3"/>
    </row>
    <row r="150" ht="15.75" customHeight="1">
      <c r="D150" s="1"/>
      <c r="F150" s="2"/>
      <c r="G150" s="3"/>
    </row>
    <row r="151" ht="15.75" customHeight="1">
      <c r="D151" s="1"/>
      <c r="F151" s="2"/>
      <c r="G151" s="3"/>
    </row>
    <row r="152" ht="15.75" customHeight="1">
      <c r="D152" s="1"/>
      <c r="F152" s="2"/>
      <c r="G152" s="3"/>
    </row>
    <row r="153" ht="15.75" customHeight="1">
      <c r="D153" s="1"/>
      <c r="F153" s="2"/>
      <c r="G153" s="3"/>
    </row>
    <row r="154" ht="15.75" customHeight="1">
      <c r="D154" s="1"/>
      <c r="F154" s="2"/>
      <c r="G154" s="3"/>
    </row>
    <row r="155" ht="15.75" customHeight="1">
      <c r="D155" s="1"/>
      <c r="F155" s="2"/>
      <c r="G155" s="3"/>
    </row>
    <row r="156" ht="15.75" customHeight="1">
      <c r="D156" s="1"/>
      <c r="F156" s="2"/>
      <c r="G156" s="3"/>
    </row>
    <row r="157" ht="15.75" customHeight="1">
      <c r="D157" s="1"/>
      <c r="F157" s="2"/>
      <c r="G157" s="3"/>
    </row>
    <row r="158" ht="15.75" customHeight="1">
      <c r="D158" s="1"/>
      <c r="F158" s="2"/>
      <c r="G158" s="3"/>
    </row>
    <row r="159" ht="15.75" customHeight="1">
      <c r="D159" s="1"/>
      <c r="F159" s="2"/>
      <c r="G159" s="3"/>
    </row>
    <row r="160" ht="15.75" customHeight="1">
      <c r="D160" s="1"/>
      <c r="F160" s="2"/>
      <c r="G160" s="3"/>
    </row>
    <row r="161" ht="15.75" customHeight="1">
      <c r="D161" s="1"/>
      <c r="F161" s="2"/>
      <c r="G161" s="3"/>
    </row>
    <row r="162" ht="15.75" customHeight="1">
      <c r="D162" s="1"/>
      <c r="F162" s="2"/>
      <c r="G162" s="3"/>
    </row>
    <row r="163" ht="15.75" customHeight="1">
      <c r="D163" s="1"/>
      <c r="F163" s="2"/>
      <c r="G163" s="3"/>
    </row>
    <row r="164" ht="15.75" customHeight="1">
      <c r="D164" s="1"/>
      <c r="F164" s="2"/>
      <c r="G164" s="3"/>
    </row>
    <row r="165" ht="15.75" customHeight="1">
      <c r="D165" s="1"/>
      <c r="F165" s="2"/>
      <c r="G165" s="3"/>
    </row>
    <row r="166" ht="15.75" customHeight="1">
      <c r="D166" s="1"/>
      <c r="F166" s="2"/>
      <c r="G166" s="3"/>
    </row>
    <row r="167" ht="15.75" customHeight="1">
      <c r="D167" s="1"/>
      <c r="F167" s="2"/>
      <c r="G167" s="3"/>
    </row>
    <row r="168" ht="15.75" customHeight="1">
      <c r="D168" s="1"/>
      <c r="F168" s="2"/>
      <c r="G168" s="3"/>
    </row>
    <row r="169" ht="15.75" customHeight="1">
      <c r="D169" s="1"/>
      <c r="F169" s="2"/>
      <c r="G169" s="3"/>
    </row>
    <row r="170" ht="15.75" customHeight="1">
      <c r="D170" s="1"/>
      <c r="F170" s="2"/>
      <c r="G170" s="3"/>
    </row>
    <row r="171" ht="15.75" customHeight="1">
      <c r="D171" s="1"/>
      <c r="F171" s="2"/>
      <c r="G171" s="3"/>
    </row>
    <row r="172" ht="15.75" customHeight="1">
      <c r="D172" s="1"/>
      <c r="F172" s="2"/>
      <c r="G172" s="3"/>
    </row>
    <row r="173" ht="15.75" customHeight="1">
      <c r="D173" s="1"/>
      <c r="F173" s="2"/>
      <c r="G173" s="3"/>
    </row>
    <row r="174" ht="15.75" customHeight="1">
      <c r="D174" s="1"/>
      <c r="F174" s="2"/>
      <c r="G174" s="3"/>
    </row>
    <row r="175" ht="15.75" customHeight="1">
      <c r="D175" s="1"/>
      <c r="F175" s="2"/>
      <c r="G175" s="3"/>
    </row>
    <row r="176" ht="15.75" customHeight="1">
      <c r="D176" s="1"/>
      <c r="F176" s="2"/>
      <c r="G176" s="3"/>
    </row>
    <row r="177" ht="15.75" customHeight="1">
      <c r="D177" s="1"/>
      <c r="F177" s="2"/>
      <c r="G177" s="3"/>
    </row>
    <row r="178" ht="15.75" customHeight="1">
      <c r="D178" s="1"/>
      <c r="F178" s="2"/>
      <c r="G178" s="3"/>
    </row>
    <row r="179" ht="15.75" customHeight="1">
      <c r="D179" s="1"/>
      <c r="F179" s="2"/>
      <c r="G179" s="3"/>
    </row>
    <row r="180" ht="15.75" customHeight="1">
      <c r="D180" s="1"/>
      <c r="F180" s="2"/>
      <c r="G180" s="3"/>
    </row>
    <row r="181" ht="15.75" customHeight="1">
      <c r="D181" s="1"/>
      <c r="F181" s="2"/>
      <c r="G181" s="3"/>
    </row>
    <row r="182" ht="15.75" customHeight="1">
      <c r="D182" s="1"/>
      <c r="F182" s="2"/>
      <c r="G182" s="3"/>
    </row>
    <row r="183" ht="15.75" customHeight="1">
      <c r="D183" s="1"/>
      <c r="F183" s="2"/>
      <c r="G183" s="3"/>
    </row>
    <row r="184" ht="15.75" customHeight="1">
      <c r="D184" s="1"/>
      <c r="F184" s="2"/>
      <c r="G184" s="3"/>
    </row>
    <row r="185" ht="15.75" customHeight="1">
      <c r="D185" s="1"/>
      <c r="F185" s="2"/>
      <c r="G185" s="3"/>
    </row>
    <row r="186" ht="15.75" customHeight="1">
      <c r="D186" s="1"/>
      <c r="F186" s="2"/>
      <c r="G186" s="3"/>
    </row>
    <row r="187" ht="15.75" customHeight="1">
      <c r="D187" s="1"/>
      <c r="F187" s="2"/>
      <c r="G187" s="3"/>
    </row>
    <row r="188" ht="15.75" customHeight="1">
      <c r="D188" s="1"/>
      <c r="F188" s="2"/>
      <c r="G188" s="3"/>
    </row>
    <row r="189" ht="15.75" customHeight="1">
      <c r="D189" s="1"/>
      <c r="F189" s="2"/>
      <c r="G189" s="3"/>
    </row>
    <row r="190" ht="15.75" customHeight="1">
      <c r="D190" s="1"/>
      <c r="F190" s="2"/>
      <c r="G190" s="3"/>
    </row>
    <row r="191" ht="15.75" customHeight="1">
      <c r="D191" s="1"/>
      <c r="F191" s="2"/>
      <c r="G191" s="3"/>
    </row>
    <row r="192" ht="15.75" customHeight="1">
      <c r="D192" s="1"/>
      <c r="F192" s="2"/>
      <c r="G192" s="3"/>
    </row>
    <row r="193" ht="15.75" customHeight="1">
      <c r="D193" s="1"/>
      <c r="F193" s="2"/>
      <c r="G193" s="3"/>
    </row>
    <row r="194" ht="15.75" customHeight="1">
      <c r="D194" s="1"/>
      <c r="F194" s="2"/>
      <c r="G194" s="3"/>
    </row>
    <row r="195" ht="15.75" customHeight="1">
      <c r="D195" s="1"/>
      <c r="F195" s="2"/>
      <c r="G195" s="3"/>
    </row>
    <row r="196" ht="15.75" customHeight="1">
      <c r="D196" s="1"/>
      <c r="F196" s="2"/>
      <c r="G196" s="3"/>
    </row>
    <row r="197" ht="15.75" customHeight="1">
      <c r="D197" s="1"/>
      <c r="F197" s="2"/>
      <c r="G197" s="3"/>
    </row>
    <row r="198" ht="15.75" customHeight="1">
      <c r="D198" s="1"/>
      <c r="F198" s="2"/>
      <c r="G198" s="3"/>
    </row>
    <row r="199" ht="15.75" customHeight="1">
      <c r="D199" s="1"/>
      <c r="F199" s="2"/>
      <c r="G199" s="3"/>
    </row>
    <row r="200" ht="15.75" customHeight="1">
      <c r="D200" s="1"/>
      <c r="F200" s="2"/>
      <c r="G200" s="3"/>
    </row>
    <row r="201" ht="15.75" customHeight="1">
      <c r="D201" s="1"/>
      <c r="F201" s="2"/>
      <c r="G201" s="3"/>
    </row>
    <row r="202" ht="15.75" customHeight="1">
      <c r="D202" s="1"/>
      <c r="F202" s="2"/>
      <c r="G202" s="3"/>
    </row>
    <row r="203" ht="15.75" customHeight="1">
      <c r="D203" s="1"/>
      <c r="F203" s="2"/>
      <c r="G203" s="3"/>
    </row>
    <row r="204" ht="15.75" customHeight="1">
      <c r="D204" s="1"/>
      <c r="F204" s="2"/>
      <c r="G204" s="3"/>
    </row>
    <row r="205" ht="15.75" customHeight="1">
      <c r="D205" s="1"/>
      <c r="F205" s="2"/>
      <c r="G205" s="3"/>
    </row>
    <row r="206" ht="15.75" customHeight="1">
      <c r="D206" s="1"/>
      <c r="F206" s="2"/>
      <c r="G206" s="3"/>
    </row>
    <row r="207" ht="15.75" customHeight="1">
      <c r="D207" s="1"/>
      <c r="F207" s="2"/>
      <c r="G207" s="3"/>
    </row>
    <row r="208" ht="15.75" customHeight="1">
      <c r="D208" s="1"/>
      <c r="F208" s="2"/>
      <c r="G208" s="3"/>
    </row>
    <row r="209" ht="15.75" customHeight="1">
      <c r="D209" s="1"/>
      <c r="F209" s="2"/>
      <c r="G209" s="3"/>
    </row>
    <row r="210" ht="15.75" customHeight="1">
      <c r="D210" s="1"/>
      <c r="F210" s="2"/>
      <c r="G210" s="3"/>
    </row>
    <row r="211" ht="15.75" customHeight="1">
      <c r="D211" s="1"/>
      <c r="F211" s="2"/>
      <c r="G211" s="3"/>
    </row>
    <row r="212" ht="15.75" customHeight="1">
      <c r="D212" s="1"/>
      <c r="F212" s="2"/>
      <c r="G212" s="3"/>
    </row>
    <row r="213" ht="15.75" customHeight="1">
      <c r="D213" s="1"/>
      <c r="F213" s="2"/>
      <c r="G213" s="3"/>
    </row>
    <row r="214" ht="15.75" customHeight="1">
      <c r="D214" s="1"/>
      <c r="F214" s="2"/>
      <c r="G214" s="3"/>
    </row>
    <row r="215" ht="15.75" customHeight="1">
      <c r="D215" s="1"/>
      <c r="F215" s="2"/>
      <c r="G215" s="3"/>
    </row>
    <row r="216" ht="15.75" customHeight="1">
      <c r="D216" s="1"/>
      <c r="F216" s="2"/>
      <c r="G216" s="3"/>
    </row>
    <row r="217" ht="15.75" customHeight="1">
      <c r="D217" s="1"/>
      <c r="F217" s="2"/>
      <c r="G217" s="3"/>
    </row>
    <row r="218" ht="15.75" customHeight="1">
      <c r="D218" s="1"/>
      <c r="F218" s="2"/>
      <c r="G218" s="3"/>
    </row>
    <row r="219" ht="15.75" customHeight="1">
      <c r="D219" s="1"/>
      <c r="F219" s="2"/>
      <c r="G219" s="3"/>
    </row>
    <row r="220" ht="15.75" customHeight="1">
      <c r="D220" s="1"/>
      <c r="F220" s="2"/>
      <c r="G220" s="3"/>
    </row>
    <row r="221" ht="15.75" customHeight="1">
      <c r="D221" s="1"/>
      <c r="F221" s="2"/>
      <c r="G221" s="3"/>
    </row>
    <row r="222" ht="15.75" customHeight="1">
      <c r="D222" s="1"/>
      <c r="F222" s="2"/>
      <c r="G222" s="3"/>
    </row>
    <row r="223" ht="15.75" customHeight="1">
      <c r="D223" s="1"/>
      <c r="F223" s="2"/>
      <c r="G223" s="3"/>
    </row>
    <row r="224" ht="15.75" customHeight="1">
      <c r="D224" s="1"/>
      <c r="F224" s="2"/>
      <c r="G224" s="3"/>
    </row>
    <row r="225" ht="15.75" customHeight="1">
      <c r="D225" s="1"/>
      <c r="F225" s="2"/>
      <c r="G225" s="3"/>
    </row>
    <row r="226" ht="15.75" customHeight="1">
      <c r="D226" s="1"/>
      <c r="F226" s="2"/>
      <c r="G226" s="3"/>
    </row>
    <row r="227" ht="15.75" customHeight="1">
      <c r="D227" s="1"/>
      <c r="F227" s="2"/>
      <c r="G227" s="3"/>
    </row>
    <row r="228" ht="15.75" customHeight="1">
      <c r="D228" s="1"/>
      <c r="F228" s="2"/>
      <c r="G228" s="3"/>
    </row>
    <row r="229" ht="15.75" customHeight="1">
      <c r="D229" s="1"/>
      <c r="F229" s="2"/>
      <c r="G229" s="3"/>
    </row>
    <row r="230" ht="15.75" customHeight="1">
      <c r="D230" s="1"/>
      <c r="F230" s="2"/>
      <c r="G230" s="3"/>
    </row>
    <row r="231" ht="15.75" customHeight="1">
      <c r="D231" s="1"/>
      <c r="F231" s="2"/>
      <c r="G231" s="3"/>
    </row>
    <row r="232" ht="15.75" customHeight="1">
      <c r="D232" s="1"/>
      <c r="F232" s="2"/>
      <c r="G232" s="3"/>
    </row>
    <row r="233" ht="15.75" customHeight="1">
      <c r="D233" s="1"/>
      <c r="F233" s="2"/>
      <c r="G233" s="3"/>
    </row>
    <row r="234" ht="15.75" customHeight="1">
      <c r="D234" s="1"/>
      <c r="F234" s="2"/>
      <c r="G234" s="3"/>
    </row>
    <row r="235" ht="15.75" customHeight="1">
      <c r="D235" s="1"/>
      <c r="F235" s="2"/>
      <c r="G235" s="3"/>
    </row>
    <row r="236" ht="15.75" customHeight="1">
      <c r="D236" s="1"/>
      <c r="F236" s="2"/>
      <c r="G236" s="3"/>
    </row>
    <row r="237" ht="15.75" customHeight="1">
      <c r="D237" s="1"/>
      <c r="F237" s="2"/>
      <c r="G237" s="3"/>
    </row>
    <row r="238" ht="15.75" customHeight="1">
      <c r="D238" s="1"/>
      <c r="F238" s="2"/>
      <c r="G238" s="3"/>
    </row>
    <row r="239" ht="15.75" customHeight="1">
      <c r="D239" s="1"/>
      <c r="F239" s="2"/>
      <c r="G239" s="3"/>
    </row>
    <row r="240" ht="15.75" customHeight="1">
      <c r="D240" s="1"/>
      <c r="F240" s="2"/>
      <c r="G240" s="3"/>
    </row>
    <row r="241" ht="15.75" customHeight="1">
      <c r="D241" s="1"/>
      <c r="F241" s="2"/>
      <c r="G241" s="3"/>
    </row>
    <row r="242" ht="15.75" customHeight="1">
      <c r="D242" s="1"/>
      <c r="F242" s="2"/>
      <c r="G242" s="3"/>
    </row>
    <row r="243" ht="15.75" customHeight="1">
      <c r="D243" s="1"/>
      <c r="F243" s="2"/>
      <c r="G243" s="3"/>
    </row>
    <row r="244" ht="15.75" customHeight="1">
      <c r="D244" s="1"/>
      <c r="F244" s="2"/>
      <c r="G244" s="3"/>
    </row>
    <row r="245" ht="15.75" customHeight="1">
      <c r="D245" s="1"/>
      <c r="F245" s="2"/>
      <c r="G245" s="3"/>
    </row>
    <row r="246" ht="15.75" customHeight="1">
      <c r="D246" s="1"/>
      <c r="F246" s="2"/>
      <c r="G246" s="3"/>
    </row>
    <row r="247" ht="15.75" customHeight="1">
      <c r="D247" s="1"/>
      <c r="F247" s="2"/>
      <c r="G247" s="3"/>
    </row>
    <row r="248" ht="15.75" customHeight="1">
      <c r="D248" s="1"/>
      <c r="F248" s="2"/>
      <c r="G248" s="3"/>
    </row>
    <row r="249" ht="15.75" customHeight="1">
      <c r="D249" s="1"/>
      <c r="F249" s="2"/>
      <c r="G249" s="3"/>
    </row>
    <row r="250" ht="15.75" customHeight="1">
      <c r="D250" s="1"/>
      <c r="F250" s="2"/>
      <c r="G250" s="3"/>
    </row>
    <row r="251" ht="15.75" customHeight="1">
      <c r="D251" s="1"/>
      <c r="F251" s="2"/>
      <c r="G251" s="3"/>
    </row>
    <row r="252" ht="15.75" customHeight="1">
      <c r="D252" s="1"/>
      <c r="F252" s="2"/>
      <c r="G252" s="3"/>
    </row>
    <row r="253" ht="15.75" customHeight="1">
      <c r="D253" s="1"/>
      <c r="F253" s="2"/>
      <c r="G253" s="3"/>
    </row>
    <row r="254" ht="15.75" customHeight="1">
      <c r="D254" s="1"/>
      <c r="F254" s="2"/>
      <c r="G254" s="3"/>
    </row>
    <row r="255" ht="15.75" customHeight="1">
      <c r="D255" s="1"/>
      <c r="F255" s="2"/>
      <c r="G255" s="3"/>
    </row>
    <row r="256" ht="15.75" customHeight="1">
      <c r="D256" s="1"/>
      <c r="F256" s="2"/>
      <c r="G256" s="3"/>
    </row>
    <row r="257" ht="15.75" customHeight="1">
      <c r="D257" s="1"/>
      <c r="F257" s="2"/>
      <c r="G257" s="3"/>
    </row>
    <row r="258" ht="15.75" customHeight="1">
      <c r="D258" s="1"/>
      <c r="F258" s="2"/>
      <c r="G258" s="3"/>
    </row>
    <row r="259" ht="15.75" customHeight="1">
      <c r="D259" s="1"/>
      <c r="F259" s="2"/>
      <c r="G259" s="3"/>
    </row>
    <row r="260" ht="15.75" customHeight="1">
      <c r="D260" s="1"/>
      <c r="F260" s="2"/>
      <c r="G260" s="3"/>
    </row>
    <row r="261" ht="15.75" customHeight="1">
      <c r="D261" s="1"/>
      <c r="F261" s="2"/>
      <c r="G261" s="3"/>
    </row>
    <row r="262" ht="15.75" customHeight="1">
      <c r="D262" s="1"/>
      <c r="F262" s="2"/>
      <c r="G262" s="3"/>
    </row>
    <row r="263" ht="15.75" customHeight="1">
      <c r="D263" s="1"/>
      <c r="F263" s="2"/>
      <c r="G263" s="3"/>
    </row>
    <row r="264" ht="15.75" customHeight="1">
      <c r="D264" s="1"/>
      <c r="F264" s="2"/>
      <c r="G264" s="3"/>
    </row>
    <row r="265" ht="15.75" customHeight="1">
      <c r="D265" s="1"/>
      <c r="F265" s="2"/>
      <c r="G265" s="3"/>
    </row>
    <row r="266" ht="15.75" customHeight="1">
      <c r="D266" s="1"/>
      <c r="F266" s="2"/>
      <c r="G266" s="3"/>
    </row>
    <row r="267" ht="15.75" customHeight="1">
      <c r="D267" s="1"/>
      <c r="F267" s="2"/>
      <c r="G267" s="3"/>
    </row>
    <row r="268" ht="15.75" customHeight="1">
      <c r="D268" s="1"/>
      <c r="F268" s="2"/>
      <c r="G268" s="3"/>
    </row>
    <row r="269" ht="15.75" customHeight="1">
      <c r="D269" s="1"/>
      <c r="F269" s="2"/>
      <c r="G269" s="3"/>
    </row>
    <row r="270" ht="15.75" customHeight="1">
      <c r="D270" s="1"/>
      <c r="F270" s="2"/>
      <c r="G270" s="3"/>
    </row>
    <row r="271" ht="15.75" customHeight="1">
      <c r="D271" s="1"/>
      <c r="F271" s="2"/>
      <c r="G271" s="3"/>
    </row>
    <row r="272" ht="15.75" customHeight="1">
      <c r="D272" s="1"/>
      <c r="F272" s="2"/>
      <c r="G272" s="3"/>
    </row>
    <row r="273" ht="15.75" customHeight="1">
      <c r="D273" s="1"/>
      <c r="F273" s="2"/>
      <c r="G273" s="3"/>
    </row>
    <row r="274" ht="15.75" customHeight="1">
      <c r="D274" s="1"/>
      <c r="F274" s="2"/>
      <c r="G274" s="3"/>
    </row>
    <row r="275" ht="15.75" customHeight="1">
      <c r="D275" s="1"/>
      <c r="F275" s="2"/>
      <c r="G275" s="3"/>
    </row>
    <row r="276" ht="15.75" customHeight="1">
      <c r="D276" s="1"/>
      <c r="F276" s="2"/>
      <c r="G276" s="3"/>
    </row>
    <row r="277" ht="15.75" customHeight="1">
      <c r="D277" s="1"/>
      <c r="F277" s="2"/>
      <c r="G277" s="3"/>
    </row>
    <row r="278" ht="15.75" customHeight="1">
      <c r="D278" s="1"/>
      <c r="F278" s="2"/>
      <c r="G278" s="3"/>
    </row>
    <row r="279" ht="15.75" customHeight="1">
      <c r="D279" s="1"/>
      <c r="F279" s="2"/>
      <c r="G279" s="3"/>
    </row>
    <row r="280" ht="15.75" customHeight="1">
      <c r="D280" s="1"/>
      <c r="F280" s="2"/>
      <c r="G280" s="3"/>
    </row>
    <row r="281" ht="15.75" customHeight="1">
      <c r="D281" s="1"/>
      <c r="F281" s="2"/>
      <c r="G281" s="3"/>
    </row>
    <row r="282" ht="15.75" customHeight="1">
      <c r="D282" s="1"/>
      <c r="F282" s="2"/>
      <c r="G282" s="3"/>
    </row>
    <row r="283" ht="15.75" customHeight="1">
      <c r="D283" s="1"/>
      <c r="F283" s="2"/>
      <c r="G283" s="3"/>
    </row>
    <row r="284" ht="15.75" customHeight="1">
      <c r="D284" s="1"/>
      <c r="F284" s="2"/>
      <c r="G284" s="3"/>
    </row>
    <row r="285" ht="15.75" customHeight="1">
      <c r="D285" s="1"/>
      <c r="F285" s="2"/>
      <c r="G285" s="3"/>
    </row>
    <row r="286" ht="15.75" customHeight="1">
      <c r="D286" s="1"/>
      <c r="F286" s="2"/>
      <c r="G286" s="3"/>
    </row>
    <row r="287" ht="15.75" customHeight="1">
      <c r="D287" s="1"/>
      <c r="F287" s="2"/>
      <c r="G287" s="3"/>
    </row>
    <row r="288" ht="15.75" customHeight="1">
      <c r="D288" s="1"/>
      <c r="F288" s="2"/>
      <c r="G288" s="3"/>
    </row>
    <row r="289" ht="15.75" customHeight="1">
      <c r="D289" s="1"/>
      <c r="F289" s="2"/>
      <c r="G289" s="3"/>
    </row>
    <row r="290" ht="15.75" customHeight="1">
      <c r="D290" s="1"/>
      <c r="F290" s="2"/>
      <c r="G290" s="3"/>
    </row>
    <row r="291" ht="15.75" customHeight="1">
      <c r="D291" s="1"/>
      <c r="F291" s="2"/>
      <c r="G291" s="3"/>
    </row>
    <row r="292" ht="15.75" customHeight="1">
      <c r="D292" s="1"/>
      <c r="F292" s="2"/>
      <c r="G292" s="3"/>
    </row>
    <row r="293" ht="15.75" customHeight="1">
      <c r="D293" s="1"/>
      <c r="F293" s="2"/>
      <c r="G293" s="3"/>
    </row>
    <row r="294" ht="15.75" customHeight="1">
      <c r="D294" s="1"/>
      <c r="F294" s="2"/>
      <c r="G294" s="3"/>
    </row>
    <row r="295" ht="15.75" customHeight="1">
      <c r="D295" s="1"/>
      <c r="F295" s="2"/>
      <c r="G295" s="3"/>
    </row>
    <row r="296" ht="15.75" customHeight="1">
      <c r="D296" s="1"/>
      <c r="F296" s="2"/>
      <c r="G296" s="3"/>
    </row>
    <row r="297" ht="15.75" customHeight="1">
      <c r="D297" s="1"/>
      <c r="F297" s="2"/>
      <c r="G297" s="3"/>
    </row>
    <row r="298" ht="15.75" customHeight="1">
      <c r="D298" s="1"/>
      <c r="F298" s="2"/>
      <c r="G298" s="3"/>
    </row>
    <row r="299" ht="15.75" customHeight="1">
      <c r="D299" s="1"/>
      <c r="F299" s="2"/>
      <c r="G299" s="3"/>
    </row>
    <row r="300" ht="15.75" customHeight="1">
      <c r="D300" s="1"/>
      <c r="F300" s="2"/>
      <c r="G300" s="3"/>
    </row>
    <row r="301" ht="15.75" customHeight="1">
      <c r="D301" s="1"/>
      <c r="F301" s="2"/>
      <c r="G301" s="3"/>
    </row>
    <row r="302" ht="15.75" customHeight="1">
      <c r="D302" s="1"/>
      <c r="F302" s="2"/>
      <c r="G302" s="3"/>
    </row>
    <row r="303" ht="15.75" customHeight="1">
      <c r="D303" s="1"/>
      <c r="F303" s="2"/>
      <c r="G303" s="3"/>
    </row>
    <row r="304" ht="15.75" customHeight="1">
      <c r="D304" s="1"/>
      <c r="F304" s="2"/>
      <c r="G304" s="3"/>
    </row>
    <row r="305" ht="15.75" customHeight="1">
      <c r="D305" s="1"/>
      <c r="F305" s="2"/>
      <c r="G305" s="3"/>
    </row>
    <row r="306" ht="15.75" customHeight="1">
      <c r="D306" s="1"/>
      <c r="F306" s="2"/>
      <c r="G306" s="3"/>
    </row>
    <row r="307" ht="15.75" customHeight="1">
      <c r="D307" s="1"/>
      <c r="F307" s="2"/>
      <c r="G307" s="3"/>
    </row>
    <row r="308" ht="15.75" customHeight="1">
      <c r="D308" s="1"/>
      <c r="F308" s="2"/>
      <c r="G308" s="3"/>
    </row>
    <row r="309" ht="15.75" customHeight="1">
      <c r="D309" s="1"/>
      <c r="F309" s="2"/>
      <c r="G309" s="3"/>
    </row>
    <row r="310" ht="15.75" customHeight="1">
      <c r="D310" s="1"/>
      <c r="F310" s="2"/>
      <c r="G310" s="3"/>
    </row>
    <row r="311" ht="15.75" customHeight="1">
      <c r="D311" s="1"/>
      <c r="F311" s="2"/>
      <c r="G311" s="3"/>
    </row>
    <row r="312" ht="15.75" customHeight="1">
      <c r="D312" s="1"/>
      <c r="F312" s="2"/>
      <c r="G312" s="3"/>
    </row>
    <row r="313" ht="15.75" customHeight="1">
      <c r="D313" s="1"/>
      <c r="F313" s="2"/>
      <c r="G313" s="3"/>
    </row>
    <row r="314" ht="15.75" customHeight="1">
      <c r="D314" s="1"/>
      <c r="F314" s="2"/>
      <c r="G314" s="3"/>
    </row>
    <row r="315" ht="15.75" customHeight="1">
      <c r="D315" s="1"/>
      <c r="F315" s="2"/>
      <c r="G315" s="3"/>
    </row>
    <row r="316" ht="15.75" customHeight="1">
      <c r="D316" s="1"/>
      <c r="F316" s="2"/>
      <c r="G316" s="3"/>
    </row>
    <row r="317" ht="15.75" customHeight="1">
      <c r="D317" s="1"/>
      <c r="F317" s="2"/>
      <c r="G317" s="3"/>
    </row>
    <row r="318" ht="15.75" customHeight="1">
      <c r="D318" s="1"/>
      <c r="F318" s="2"/>
      <c r="G318" s="3"/>
    </row>
    <row r="319" ht="15.75" customHeight="1">
      <c r="D319" s="1"/>
      <c r="F319" s="2"/>
      <c r="G319" s="3"/>
    </row>
    <row r="320" ht="15.75" customHeight="1">
      <c r="D320" s="1"/>
      <c r="F320" s="2"/>
      <c r="G320" s="3"/>
    </row>
    <row r="321" ht="15.75" customHeight="1">
      <c r="D321" s="1"/>
      <c r="F321" s="2"/>
      <c r="G321" s="3"/>
    </row>
    <row r="322" ht="15.75" customHeight="1">
      <c r="D322" s="1"/>
      <c r="F322" s="2"/>
      <c r="G322" s="3"/>
    </row>
    <row r="323" ht="15.75" customHeight="1">
      <c r="D323" s="1"/>
      <c r="F323" s="2"/>
      <c r="G323" s="3"/>
    </row>
    <row r="324" ht="15.75" customHeight="1">
      <c r="D324" s="1"/>
      <c r="F324" s="2"/>
      <c r="G324" s="3"/>
    </row>
    <row r="325" ht="15.75" customHeight="1">
      <c r="D325" s="1"/>
      <c r="F325" s="2"/>
      <c r="G325" s="3"/>
    </row>
    <row r="326" ht="15.75" customHeight="1">
      <c r="D326" s="1"/>
      <c r="F326" s="2"/>
      <c r="G326" s="3"/>
    </row>
    <row r="327" ht="15.75" customHeight="1">
      <c r="D327" s="1"/>
      <c r="F327" s="2"/>
      <c r="G327" s="3"/>
    </row>
    <row r="328" ht="15.75" customHeight="1">
      <c r="D328" s="1"/>
      <c r="F328" s="2"/>
      <c r="G328" s="3"/>
    </row>
    <row r="329" ht="15.75" customHeight="1">
      <c r="D329" s="1"/>
      <c r="F329" s="2"/>
      <c r="G329" s="3"/>
    </row>
    <row r="330" ht="15.75" customHeight="1">
      <c r="D330" s="1"/>
      <c r="F330" s="2"/>
      <c r="G330" s="3"/>
    </row>
    <row r="331" ht="15.75" customHeight="1">
      <c r="D331" s="1"/>
      <c r="F331" s="2"/>
      <c r="G331" s="3"/>
    </row>
    <row r="332" ht="15.75" customHeight="1">
      <c r="D332" s="1"/>
      <c r="F332" s="2"/>
      <c r="G332" s="3"/>
    </row>
    <row r="333" ht="15.75" customHeight="1">
      <c r="D333" s="1"/>
      <c r="F333" s="2"/>
      <c r="G333" s="3"/>
    </row>
    <row r="334" ht="15.75" customHeight="1">
      <c r="D334" s="1"/>
      <c r="F334" s="2"/>
      <c r="G334" s="3"/>
    </row>
    <row r="335" ht="15.75" customHeight="1">
      <c r="D335" s="1"/>
      <c r="F335" s="2"/>
      <c r="G335" s="3"/>
    </row>
    <row r="336" ht="15.75" customHeight="1">
      <c r="D336" s="1"/>
      <c r="F336" s="2"/>
      <c r="G336" s="3"/>
    </row>
    <row r="337" ht="15.75" customHeight="1">
      <c r="D337" s="1"/>
      <c r="F337" s="2"/>
      <c r="G337" s="3"/>
    </row>
    <row r="338" ht="15.75" customHeight="1">
      <c r="D338" s="1"/>
      <c r="F338" s="2"/>
      <c r="G338" s="3"/>
    </row>
    <row r="339" ht="15.75" customHeight="1">
      <c r="D339" s="1"/>
      <c r="F339" s="2"/>
      <c r="G339" s="3"/>
    </row>
    <row r="340" ht="15.75" customHeight="1">
      <c r="D340" s="1"/>
      <c r="F340" s="2"/>
      <c r="G340" s="3"/>
    </row>
    <row r="341" ht="15.75" customHeight="1">
      <c r="D341" s="1"/>
      <c r="F341" s="2"/>
      <c r="G341" s="3"/>
    </row>
    <row r="342" ht="15.75" customHeight="1">
      <c r="D342" s="1"/>
      <c r="F342" s="2"/>
      <c r="G342" s="3"/>
    </row>
    <row r="343" ht="15.75" customHeight="1">
      <c r="D343" s="1"/>
      <c r="F343" s="2"/>
      <c r="G343" s="3"/>
    </row>
    <row r="344" ht="15.75" customHeight="1">
      <c r="D344" s="1"/>
      <c r="F344" s="2"/>
      <c r="G344" s="3"/>
    </row>
    <row r="345" ht="15.75" customHeight="1">
      <c r="D345" s="1"/>
      <c r="F345" s="2"/>
      <c r="G345" s="3"/>
    </row>
    <row r="346" ht="15.75" customHeight="1">
      <c r="D346" s="1"/>
      <c r="F346" s="2"/>
      <c r="G346" s="3"/>
    </row>
    <row r="347" ht="15.75" customHeight="1">
      <c r="D347" s="1"/>
      <c r="F347" s="2"/>
      <c r="G347" s="3"/>
    </row>
    <row r="348" ht="15.75" customHeight="1">
      <c r="D348" s="1"/>
      <c r="F348" s="2"/>
      <c r="G348" s="3"/>
    </row>
    <row r="349" ht="15.75" customHeight="1">
      <c r="D349" s="1"/>
      <c r="F349" s="2"/>
      <c r="G349" s="3"/>
    </row>
    <row r="350" ht="15.75" customHeight="1">
      <c r="D350" s="1"/>
      <c r="F350" s="2"/>
      <c r="G350" s="3"/>
    </row>
    <row r="351" ht="15.75" customHeight="1">
      <c r="D351" s="1"/>
      <c r="F351" s="2"/>
      <c r="G351" s="3"/>
    </row>
    <row r="352" ht="15.75" customHeight="1">
      <c r="D352" s="1"/>
      <c r="F352" s="2"/>
      <c r="G352" s="3"/>
    </row>
    <row r="353" ht="15.75" customHeight="1">
      <c r="D353" s="1"/>
      <c r="F353" s="2"/>
      <c r="G353" s="3"/>
    </row>
    <row r="354" ht="15.75" customHeight="1">
      <c r="D354" s="1"/>
      <c r="F354" s="2"/>
      <c r="G354" s="3"/>
    </row>
    <row r="355" ht="15.75" customHeight="1">
      <c r="D355" s="1"/>
      <c r="F355" s="2"/>
      <c r="G355" s="3"/>
    </row>
    <row r="356" ht="15.75" customHeight="1">
      <c r="D356" s="1"/>
      <c r="F356" s="2"/>
      <c r="G356" s="3"/>
    </row>
    <row r="357" ht="15.75" customHeight="1">
      <c r="D357" s="1"/>
      <c r="F357" s="2"/>
      <c r="G357" s="3"/>
    </row>
    <row r="358" ht="15.75" customHeight="1">
      <c r="D358" s="1"/>
      <c r="F358" s="2"/>
      <c r="G358" s="3"/>
    </row>
    <row r="359" ht="15.75" customHeight="1">
      <c r="D359" s="1"/>
      <c r="F359" s="2"/>
      <c r="G359" s="3"/>
    </row>
    <row r="360" ht="15.75" customHeight="1">
      <c r="D360" s="1"/>
      <c r="F360" s="2"/>
      <c r="G360" s="3"/>
    </row>
    <row r="361" ht="15.75" customHeight="1">
      <c r="D361" s="1"/>
      <c r="F361" s="2"/>
      <c r="G361" s="3"/>
    </row>
    <row r="362" ht="15.75" customHeight="1">
      <c r="D362" s="1"/>
      <c r="F362" s="2"/>
      <c r="G362" s="3"/>
    </row>
    <row r="363" ht="15.75" customHeight="1">
      <c r="D363" s="1"/>
      <c r="F363" s="2"/>
      <c r="G363" s="3"/>
    </row>
    <row r="364" ht="15.75" customHeight="1">
      <c r="D364" s="1"/>
      <c r="F364" s="2"/>
      <c r="G364" s="3"/>
    </row>
    <row r="365" ht="15.75" customHeight="1">
      <c r="D365" s="1"/>
      <c r="F365" s="2"/>
      <c r="G365" s="3"/>
    </row>
    <row r="366" ht="15.75" customHeight="1">
      <c r="D366" s="1"/>
      <c r="F366" s="2"/>
      <c r="G366" s="3"/>
    </row>
    <row r="367" ht="15.75" customHeight="1">
      <c r="D367" s="1"/>
      <c r="F367" s="2"/>
      <c r="G367" s="3"/>
    </row>
    <row r="368" ht="15.75" customHeight="1">
      <c r="D368" s="1"/>
      <c r="F368" s="2"/>
      <c r="G368" s="3"/>
    </row>
    <row r="369" ht="15.75" customHeight="1">
      <c r="D369" s="1"/>
      <c r="F369" s="2"/>
      <c r="G369" s="3"/>
    </row>
    <row r="370" ht="15.75" customHeight="1">
      <c r="D370" s="1"/>
      <c r="F370" s="2"/>
      <c r="G370" s="3"/>
    </row>
    <row r="371" ht="15.75" customHeight="1">
      <c r="D371" s="1"/>
      <c r="F371" s="2"/>
      <c r="G371" s="3"/>
    </row>
    <row r="372" ht="15.75" customHeight="1">
      <c r="D372" s="1"/>
      <c r="F372" s="2"/>
      <c r="G372" s="3"/>
    </row>
    <row r="373" ht="15.75" customHeight="1">
      <c r="D373" s="1"/>
      <c r="F373" s="2"/>
      <c r="G373" s="3"/>
    </row>
    <row r="374" ht="15.75" customHeight="1">
      <c r="D374" s="1"/>
      <c r="F374" s="2"/>
      <c r="G374" s="3"/>
    </row>
    <row r="375" ht="15.75" customHeight="1">
      <c r="D375" s="1"/>
      <c r="F375" s="2"/>
      <c r="G375" s="3"/>
    </row>
    <row r="376" ht="15.75" customHeight="1">
      <c r="D376" s="1"/>
      <c r="F376" s="2"/>
      <c r="G376" s="3"/>
    </row>
    <row r="377" ht="15.75" customHeight="1">
      <c r="D377" s="1"/>
      <c r="F377" s="2"/>
      <c r="G377" s="3"/>
    </row>
    <row r="378" ht="15.75" customHeight="1">
      <c r="D378" s="1"/>
      <c r="F378" s="2"/>
      <c r="G378" s="3"/>
    </row>
    <row r="379" ht="15.75" customHeight="1">
      <c r="D379" s="1"/>
      <c r="F379" s="2"/>
      <c r="G379" s="3"/>
    </row>
    <row r="380" ht="15.75" customHeight="1">
      <c r="D380" s="1"/>
      <c r="F380" s="2"/>
      <c r="G380" s="3"/>
    </row>
    <row r="381" ht="15.75" customHeight="1">
      <c r="D381" s="1"/>
      <c r="F381" s="2"/>
      <c r="G381" s="3"/>
    </row>
    <row r="382" ht="15.75" customHeight="1">
      <c r="D382" s="1"/>
      <c r="F382" s="2"/>
      <c r="G382" s="3"/>
    </row>
    <row r="383" ht="15.75" customHeight="1">
      <c r="D383" s="1"/>
      <c r="F383" s="2"/>
      <c r="G383" s="3"/>
    </row>
    <row r="384" ht="15.75" customHeight="1">
      <c r="D384" s="1"/>
      <c r="F384" s="2"/>
      <c r="G384" s="3"/>
    </row>
    <row r="385" ht="15.75" customHeight="1">
      <c r="D385" s="1"/>
      <c r="F385" s="2"/>
      <c r="G385" s="3"/>
    </row>
    <row r="386" ht="15.75" customHeight="1">
      <c r="D386" s="1"/>
      <c r="F386" s="2"/>
      <c r="G386" s="3"/>
    </row>
    <row r="387" ht="15.75" customHeight="1">
      <c r="D387" s="1"/>
      <c r="F387" s="2"/>
      <c r="G387" s="3"/>
    </row>
    <row r="388" ht="15.75" customHeight="1">
      <c r="D388" s="1"/>
      <c r="F388" s="2"/>
      <c r="G388" s="3"/>
    </row>
    <row r="389" ht="15.75" customHeight="1">
      <c r="D389" s="1"/>
      <c r="F389" s="2"/>
      <c r="G389" s="3"/>
    </row>
    <row r="390" ht="15.75" customHeight="1">
      <c r="D390" s="1"/>
      <c r="F390" s="2"/>
      <c r="G390" s="3"/>
    </row>
    <row r="391" ht="15.75" customHeight="1">
      <c r="D391" s="1"/>
      <c r="F391" s="2"/>
      <c r="G391" s="3"/>
    </row>
    <row r="392" ht="15.75" customHeight="1">
      <c r="D392" s="1"/>
      <c r="F392" s="2"/>
      <c r="G392" s="3"/>
    </row>
    <row r="393" ht="15.75" customHeight="1">
      <c r="D393" s="1"/>
      <c r="F393" s="2"/>
      <c r="G393" s="3"/>
    </row>
    <row r="394" ht="15.75" customHeight="1">
      <c r="D394" s="1"/>
      <c r="F394" s="2"/>
      <c r="G394" s="3"/>
    </row>
    <row r="395" ht="15.75" customHeight="1">
      <c r="D395" s="1"/>
      <c r="F395" s="2"/>
      <c r="G395" s="3"/>
    </row>
    <row r="396" ht="15.75" customHeight="1">
      <c r="D396" s="1"/>
      <c r="F396" s="2"/>
      <c r="G396" s="3"/>
    </row>
    <row r="397" ht="15.75" customHeight="1">
      <c r="D397" s="1"/>
      <c r="F397" s="2"/>
      <c r="G397" s="3"/>
    </row>
    <row r="398" ht="15.75" customHeight="1">
      <c r="D398" s="1"/>
      <c r="F398" s="2"/>
      <c r="G398" s="3"/>
    </row>
    <row r="399" ht="15.75" customHeight="1">
      <c r="D399" s="1"/>
      <c r="F399" s="2"/>
      <c r="G399" s="3"/>
    </row>
    <row r="400" ht="15.75" customHeight="1">
      <c r="D400" s="1"/>
      <c r="F400" s="2"/>
      <c r="G400" s="3"/>
    </row>
    <row r="401" ht="15.75" customHeight="1">
      <c r="D401" s="1"/>
      <c r="F401" s="2"/>
      <c r="G401" s="3"/>
    </row>
    <row r="402" ht="15.75" customHeight="1">
      <c r="D402" s="1"/>
      <c r="F402" s="2"/>
      <c r="G402" s="3"/>
    </row>
    <row r="403" ht="15.75" customHeight="1">
      <c r="D403" s="1"/>
      <c r="F403" s="2"/>
      <c r="G403" s="3"/>
    </row>
    <row r="404" ht="15.75" customHeight="1">
      <c r="D404" s="1"/>
      <c r="F404" s="2"/>
      <c r="G404" s="3"/>
    </row>
    <row r="405" ht="15.75" customHeight="1">
      <c r="D405" s="1"/>
      <c r="F405" s="2"/>
      <c r="G405" s="3"/>
    </row>
    <row r="406" ht="15.75" customHeight="1">
      <c r="D406" s="1"/>
      <c r="F406" s="2"/>
      <c r="G406" s="3"/>
    </row>
    <row r="407" ht="15.75" customHeight="1">
      <c r="D407" s="1"/>
      <c r="F407" s="2"/>
      <c r="G407" s="3"/>
    </row>
    <row r="408" ht="15.75" customHeight="1">
      <c r="D408" s="1"/>
      <c r="F408" s="2"/>
      <c r="G408" s="3"/>
    </row>
    <row r="409" ht="15.75" customHeight="1">
      <c r="D409" s="1"/>
      <c r="F409" s="2"/>
      <c r="G409" s="3"/>
    </row>
    <row r="410" ht="15.75" customHeight="1">
      <c r="D410" s="1"/>
      <c r="F410" s="2"/>
      <c r="G410" s="3"/>
    </row>
    <row r="411" ht="15.75" customHeight="1">
      <c r="D411" s="1"/>
      <c r="F411" s="2"/>
      <c r="G411" s="3"/>
    </row>
    <row r="412" ht="15.75" customHeight="1">
      <c r="D412" s="1"/>
      <c r="F412" s="2"/>
      <c r="G412" s="3"/>
    </row>
    <row r="413" ht="15.75" customHeight="1">
      <c r="D413" s="1"/>
      <c r="F413" s="2"/>
      <c r="G413" s="3"/>
    </row>
    <row r="414" ht="15.75" customHeight="1">
      <c r="D414" s="1"/>
      <c r="F414" s="2"/>
      <c r="G414" s="3"/>
    </row>
    <row r="415" ht="15.75" customHeight="1">
      <c r="D415" s="1"/>
      <c r="F415" s="2"/>
      <c r="G415" s="3"/>
    </row>
    <row r="416" ht="15.75" customHeight="1">
      <c r="D416" s="1"/>
      <c r="F416" s="2"/>
      <c r="G416" s="3"/>
    </row>
    <row r="417" ht="15.75" customHeight="1">
      <c r="D417" s="1"/>
      <c r="F417" s="2"/>
      <c r="G417" s="3"/>
    </row>
    <row r="418" ht="15.75" customHeight="1">
      <c r="D418" s="1"/>
      <c r="F418" s="2"/>
      <c r="G418" s="3"/>
    </row>
    <row r="419" ht="15.75" customHeight="1">
      <c r="D419" s="1"/>
      <c r="F419" s="2"/>
      <c r="G419" s="3"/>
    </row>
    <row r="420" ht="15.75" customHeight="1">
      <c r="D420" s="1"/>
      <c r="F420" s="2"/>
      <c r="G420" s="3"/>
    </row>
    <row r="421" ht="15.75" customHeight="1">
      <c r="D421" s="1"/>
      <c r="F421" s="2"/>
      <c r="G421" s="3"/>
    </row>
    <row r="422" ht="15.75" customHeight="1">
      <c r="D422" s="1"/>
      <c r="F422" s="2"/>
      <c r="G422" s="3"/>
    </row>
    <row r="423" ht="15.75" customHeight="1">
      <c r="D423" s="1"/>
      <c r="F423" s="2"/>
      <c r="G423" s="3"/>
    </row>
    <row r="424" ht="15.75" customHeight="1">
      <c r="D424" s="1"/>
      <c r="F424" s="2"/>
      <c r="G424" s="3"/>
    </row>
    <row r="425" ht="15.75" customHeight="1">
      <c r="D425" s="1"/>
      <c r="F425" s="2"/>
      <c r="G425" s="3"/>
    </row>
    <row r="426" ht="15.75" customHeight="1">
      <c r="D426" s="1"/>
      <c r="F426" s="2"/>
      <c r="G426" s="3"/>
    </row>
    <row r="427" ht="15.75" customHeight="1">
      <c r="D427" s="1"/>
      <c r="F427" s="2"/>
      <c r="G427" s="3"/>
    </row>
    <row r="428" ht="15.75" customHeight="1">
      <c r="D428" s="1"/>
      <c r="F428" s="2"/>
      <c r="G428" s="3"/>
    </row>
    <row r="429" ht="15.75" customHeight="1">
      <c r="D429" s="1"/>
      <c r="F429" s="2"/>
      <c r="G429" s="3"/>
    </row>
    <row r="430" ht="15.75" customHeight="1">
      <c r="D430" s="1"/>
      <c r="F430" s="2"/>
      <c r="G430" s="3"/>
    </row>
    <row r="431" ht="15.75" customHeight="1">
      <c r="D431" s="1"/>
      <c r="F431" s="2"/>
      <c r="G431" s="3"/>
    </row>
    <row r="432" ht="15.75" customHeight="1">
      <c r="D432" s="1"/>
      <c r="F432" s="2"/>
      <c r="G432" s="3"/>
    </row>
    <row r="433" ht="15.75" customHeight="1">
      <c r="D433" s="1"/>
      <c r="F433" s="2"/>
      <c r="G433" s="3"/>
    </row>
    <row r="434" ht="15.75" customHeight="1">
      <c r="D434" s="1"/>
      <c r="F434" s="2"/>
      <c r="G434" s="3"/>
    </row>
    <row r="435" ht="15.75" customHeight="1">
      <c r="D435" s="1"/>
      <c r="F435" s="2"/>
      <c r="G435" s="3"/>
    </row>
    <row r="436" ht="15.75" customHeight="1">
      <c r="D436" s="1"/>
      <c r="F436" s="2"/>
      <c r="G436" s="3"/>
    </row>
    <row r="437" ht="15.75" customHeight="1">
      <c r="D437" s="1"/>
      <c r="F437" s="2"/>
      <c r="G437" s="3"/>
    </row>
    <row r="438" ht="15.75" customHeight="1">
      <c r="D438" s="1"/>
      <c r="F438" s="2"/>
      <c r="G438" s="3"/>
    </row>
    <row r="439" ht="15.75" customHeight="1">
      <c r="D439" s="1"/>
      <c r="F439" s="2"/>
      <c r="G439" s="3"/>
    </row>
    <row r="440" ht="15.75" customHeight="1">
      <c r="D440" s="1"/>
      <c r="F440" s="2"/>
      <c r="G440" s="3"/>
    </row>
    <row r="441" ht="15.75" customHeight="1">
      <c r="D441" s="1"/>
      <c r="F441" s="2"/>
      <c r="G441" s="3"/>
    </row>
    <row r="442" ht="15.75" customHeight="1">
      <c r="D442" s="1"/>
      <c r="F442" s="2"/>
      <c r="G442" s="3"/>
    </row>
    <row r="443" ht="15.75" customHeight="1">
      <c r="D443" s="1"/>
      <c r="F443" s="2"/>
      <c r="G443" s="3"/>
    </row>
    <row r="444" ht="15.75" customHeight="1">
      <c r="D444" s="1"/>
      <c r="F444" s="2"/>
      <c r="G444" s="3"/>
    </row>
    <row r="445" ht="15.75" customHeight="1">
      <c r="D445" s="1"/>
      <c r="F445" s="2"/>
      <c r="G445" s="3"/>
    </row>
    <row r="446" ht="15.75" customHeight="1">
      <c r="D446" s="1"/>
      <c r="F446" s="2"/>
      <c r="G446" s="3"/>
    </row>
    <row r="447" ht="15.75" customHeight="1">
      <c r="D447" s="1"/>
      <c r="F447" s="2"/>
      <c r="G447" s="3"/>
    </row>
    <row r="448" ht="15.75" customHeight="1">
      <c r="D448" s="1"/>
      <c r="F448" s="2"/>
      <c r="G448" s="3"/>
    </row>
    <row r="449" ht="15.75" customHeight="1">
      <c r="D449" s="1"/>
      <c r="F449" s="2"/>
      <c r="G449" s="3"/>
    </row>
    <row r="450" ht="15.75" customHeight="1">
      <c r="D450" s="1"/>
      <c r="F450" s="2"/>
      <c r="G450" s="3"/>
    </row>
    <row r="451" ht="15.75" customHeight="1">
      <c r="D451" s="1"/>
      <c r="F451" s="2"/>
      <c r="G451" s="3"/>
    </row>
    <row r="452" ht="15.75" customHeight="1">
      <c r="D452" s="1"/>
      <c r="F452" s="2"/>
      <c r="G452" s="3"/>
    </row>
    <row r="453" ht="15.75" customHeight="1">
      <c r="D453" s="1"/>
      <c r="F453" s="2"/>
      <c r="G453" s="3"/>
    </row>
    <row r="454" ht="15.75" customHeight="1">
      <c r="D454" s="1"/>
      <c r="F454" s="2"/>
      <c r="G454" s="3"/>
    </row>
    <row r="455" ht="15.75" customHeight="1">
      <c r="D455" s="1"/>
      <c r="F455" s="2"/>
      <c r="G455" s="3"/>
    </row>
    <row r="456" ht="15.75" customHeight="1">
      <c r="D456" s="1"/>
      <c r="F456" s="2"/>
      <c r="G456" s="3"/>
    </row>
    <row r="457" ht="15.75" customHeight="1">
      <c r="D457" s="1"/>
      <c r="F457" s="2"/>
      <c r="G457" s="3"/>
    </row>
    <row r="458" ht="15.75" customHeight="1">
      <c r="D458" s="1"/>
      <c r="F458" s="2"/>
      <c r="G458" s="3"/>
    </row>
    <row r="459" ht="15.75" customHeight="1">
      <c r="D459" s="1"/>
      <c r="F459" s="2"/>
      <c r="G459" s="3"/>
    </row>
    <row r="460" ht="15.75" customHeight="1">
      <c r="D460" s="1"/>
      <c r="F460" s="2"/>
      <c r="G460" s="3"/>
    </row>
    <row r="461" ht="15.75" customHeight="1">
      <c r="D461" s="1"/>
      <c r="F461" s="2"/>
      <c r="G461" s="3"/>
    </row>
    <row r="462" ht="15.75" customHeight="1">
      <c r="D462" s="1"/>
      <c r="F462" s="2"/>
      <c r="G462" s="3"/>
    </row>
    <row r="463" ht="15.75" customHeight="1">
      <c r="D463" s="1"/>
      <c r="F463" s="2"/>
      <c r="G463" s="3"/>
    </row>
    <row r="464" ht="15.75" customHeight="1">
      <c r="D464" s="1"/>
      <c r="F464" s="2"/>
      <c r="G464" s="3"/>
    </row>
    <row r="465" ht="15.75" customHeight="1">
      <c r="D465" s="1"/>
      <c r="F465" s="2"/>
      <c r="G465" s="3"/>
    </row>
    <row r="466" ht="15.75" customHeight="1">
      <c r="D466" s="1"/>
      <c r="F466" s="2"/>
      <c r="G466" s="3"/>
    </row>
    <row r="467" ht="15.75" customHeight="1">
      <c r="D467" s="1"/>
      <c r="F467" s="2"/>
      <c r="G467" s="3"/>
    </row>
    <row r="468" ht="15.75" customHeight="1">
      <c r="D468" s="1"/>
      <c r="F468" s="2"/>
      <c r="G468" s="3"/>
    </row>
    <row r="469" ht="15.75" customHeight="1">
      <c r="D469" s="1"/>
      <c r="F469" s="2"/>
      <c r="G469" s="3"/>
    </row>
    <row r="470" ht="15.75" customHeight="1">
      <c r="D470" s="1"/>
      <c r="F470" s="2"/>
      <c r="G470" s="3"/>
    </row>
    <row r="471" ht="15.75" customHeight="1">
      <c r="D471" s="1"/>
      <c r="F471" s="2"/>
      <c r="G471" s="3"/>
    </row>
    <row r="472" ht="15.75" customHeight="1">
      <c r="D472" s="1"/>
      <c r="F472" s="2"/>
      <c r="G472" s="3"/>
    </row>
    <row r="473" ht="15.75" customHeight="1">
      <c r="D473" s="1"/>
      <c r="F473" s="2"/>
      <c r="G473" s="3"/>
    </row>
    <row r="474" ht="15.75" customHeight="1">
      <c r="D474" s="1"/>
      <c r="F474" s="2"/>
      <c r="G474" s="3"/>
    </row>
    <row r="475" ht="15.75" customHeight="1">
      <c r="D475" s="1"/>
      <c r="F475" s="2"/>
      <c r="G475" s="3"/>
    </row>
    <row r="476" ht="15.75" customHeight="1">
      <c r="D476" s="1"/>
      <c r="F476" s="2"/>
      <c r="G476" s="3"/>
    </row>
    <row r="477" ht="15.75" customHeight="1">
      <c r="D477" s="1"/>
      <c r="F477" s="2"/>
      <c r="G477" s="3"/>
    </row>
    <row r="478" ht="15.75" customHeight="1">
      <c r="D478" s="1"/>
      <c r="F478" s="2"/>
      <c r="G478" s="3"/>
    </row>
    <row r="479" ht="15.75" customHeight="1">
      <c r="D479" s="1"/>
      <c r="F479" s="2"/>
      <c r="G479" s="3"/>
    </row>
    <row r="480" ht="15.75" customHeight="1">
      <c r="D480" s="1"/>
      <c r="F480" s="2"/>
      <c r="G480" s="3"/>
    </row>
    <row r="481" ht="15.75" customHeight="1">
      <c r="D481" s="1"/>
      <c r="F481" s="2"/>
      <c r="G481" s="3"/>
    </row>
    <row r="482" ht="15.75" customHeight="1">
      <c r="D482" s="1"/>
      <c r="F482" s="2"/>
      <c r="G482" s="3"/>
    </row>
    <row r="483" ht="15.75" customHeight="1">
      <c r="D483" s="1"/>
      <c r="F483" s="2"/>
      <c r="G483" s="3"/>
    </row>
    <row r="484" ht="15.75" customHeight="1">
      <c r="D484" s="1"/>
      <c r="F484" s="2"/>
      <c r="G484" s="3"/>
    </row>
    <row r="485" ht="15.75" customHeight="1">
      <c r="D485" s="1"/>
      <c r="F485" s="2"/>
      <c r="G485" s="3"/>
    </row>
    <row r="486" ht="15.75" customHeight="1">
      <c r="D486" s="1"/>
      <c r="F486" s="2"/>
      <c r="G486" s="3"/>
    </row>
    <row r="487" ht="15.75" customHeight="1">
      <c r="D487" s="1"/>
      <c r="F487" s="2"/>
      <c r="G487" s="3"/>
    </row>
    <row r="488" ht="15.75" customHeight="1">
      <c r="D488" s="1"/>
      <c r="F488" s="2"/>
      <c r="G488" s="3"/>
    </row>
    <row r="489" ht="15.75" customHeight="1">
      <c r="D489" s="1"/>
      <c r="F489" s="2"/>
      <c r="G489" s="3"/>
    </row>
    <row r="490" ht="15.75" customHeight="1">
      <c r="D490" s="1"/>
      <c r="F490" s="2"/>
      <c r="G490" s="3"/>
    </row>
    <row r="491" ht="15.75" customHeight="1">
      <c r="D491" s="1"/>
      <c r="F491" s="2"/>
      <c r="G491" s="3"/>
    </row>
    <row r="492" ht="15.75" customHeight="1">
      <c r="D492" s="1"/>
      <c r="F492" s="2"/>
      <c r="G492" s="3"/>
    </row>
    <row r="493" ht="15.75" customHeight="1">
      <c r="D493" s="1"/>
      <c r="F493" s="2"/>
      <c r="G493" s="3"/>
    </row>
    <row r="494" ht="15.75" customHeight="1">
      <c r="D494" s="1"/>
      <c r="F494" s="2"/>
      <c r="G494" s="3"/>
    </row>
    <row r="495" ht="15.75" customHeight="1">
      <c r="D495" s="1"/>
      <c r="F495" s="2"/>
      <c r="G495" s="3"/>
    </row>
    <row r="496" ht="15.75" customHeight="1">
      <c r="D496" s="1"/>
      <c r="F496" s="2"/>
      <c r="G496" s="3"/>
    </row>
    <row r="497" ht="15.75" customHeight="1">
      <c r="D497" s="1"/>
      <c r="F497" s="2"/>
      <c r="G497" s="3"/>
    </row>
    <row r="498" ht="15.75" customHeight="1">
      <c r="D498" s="1"/>
      <c r="F498" s="2"/>
      <c r="G498" s="3"/>
    </row>
    <row r="499" ht="15.75" customHeight="1">
      <c r="D499" s="1"/>
      <c r="F499" s="2"/>
      <c r="G499" s="3"/>
    </row>
    <row r="500" ht="15.75" customHeight="1">
      <c r="D500" s="1"/>
      <c r="F500" s="2"/>
      <c r="G500" s="3"/>
    </row>
    <row r="501" ht="15.75" customHeight="1">
      <c r="D501" s="1"/>
      <c r="F501" s="2"/>
      <c r="G501" s="3"/>
    </row>
    <row r="502" ht="15.75" customHeight="1">
      <c r="D502" s="1"/>
      <c r="F502" s="2"/>
      <c r="G502" s="3"/>
    </row>
    <row r="503" ht="15.75" customHeight="1">
      <c r="D503" s="1"/>
      <c r="F503" s="2"/>
      <c r="G503" s="3"/>
    </row>
    <row r="504" ht="15.75" customHeight="1">
      <c r="D504" s="1"/>
      <c r="F504" s="2"/>
      <c r="G504" s="3"/>
    </row>
    <row r="505" ht="15.75" customHeight="1">
      <c r="D505" s="1"/>
      <c r="F505" s="2"/>
      <c r="G505" s="3"/>
    </row>
    <row r="506" ht="15.75" customHeight="1">
      <c r="D506" s="1"/>
      <c r="F506" s="2"/>
      <c r="G506" s="3"/>
    </row>
    <row r="507" ht="15.75" customHeight="1">
      <c r="D507" s="1"/>
      <c r="F507" s="2"/>
      <c r="G507" s="3"/>
    </row>
    <row r="508" ht="15.75" customHeight="1">
      <c r="D508" s="1"/>
      <c r="F508" s="2"/>
      <c r="G508" s="3"/>
    </row>
    <row r="509" ht="15.75" customHeight="1">
      <c r="D509" s="1"/>
      <c r="F509" s="2"/>
      <c r="G509" s="3"/>
    </row>
    <row r="510" ht="15.75" customHeight="1">
      <c r="D510" s="1"/>
      <c r="F510" s="2"/>
      <c r="G510" s="3"/>
    </row>
    <row r="511" ht="15.75" customHeight="1">
      <c r="D511" s="1"/>
      <c r="F511" s="2"/>
      <c r="G511" s="3"/>
    </row>
    <row r="512" ht="15.75" customHeight="1">
      <c r="D512" s="1"/>
      <c r="F512" s="2"/>
      <c r="G512" s="3"/>
    </row>
    <row r="513" ht="15.75" customHeight="1">
      <c r="D513" s="1"/>
      <c r="F513" s="2"/>
      <c r="G513" s="3"/>
    </row>
    <row r="514" ht="15.75" customHeight="1">
      <c r="D514" s="1"/>
      <c r="F514" s="2"/>
      <c r="G514" s="3"/>
    </row>
    <row r="515" ht="15.75" customHeight="1">
      <c r="D515" s="1"/>
      <c r="F515" s="2"/>
      <c r="G515" s="3"/>
    </row>
    <row r="516" ht="15.75" customHeight="1">
      <c r="D516" s="1"/>
      <c r="F516" s="2"/>
      <c r="G516" s="3"/>
    </row>
    <row r="517" ht="15.75" customHeight="1">
      <c r="D517" s="1"/>
      <c r="F517" s="2"/>
      <c r="G517" s="3"/>
    </row>
    <row r="518" ht="15.75" customHeight="1">
      <c r="D518" s="1"/>
      <c r="F518" s="2"/>
      <c r="G518" s="3"/>
    </row>
    <row r="519" ht="15.75" customHeight="1">
      <c r="D519" s="1"/>
      <c r="F519" s="2"/>
      <c r="G519" s="3"/>
    </row>
    <row r="520" ht="15.75" customHeight="1">
      <c r="D520" s="1"/>
      <c r="F520" s="2"/>
      <c r="G520" s="3"/>
    </row>
    <row r="521" ht="15.75" customHeight="1">
      <c r="D521" s="1"/>
      <c r="F521" s="2"/>
      <c r="G521" s="3"/>
    </row>
    <row r="522" ht="15.75" customHeight="1">
      <c r="D522" s="1"/>
      <c r="F522" s="2"/>
      <c r="G522" s="3"/>
    </row>
    <row r="523" ht="15.75" customHeight="1">
      <c r="D523" s="1"/>
      <c r="F523" s="2"/>
      <c r="G523" s="3"/>
    </row>
    <row r="524" ht="15.75" customHeight="1">
      <c r="D524" s="1"/>
      <c r="F524" s="2"/>
      <c r="G524" s="3"/>
    </row>
    <row r="525" ht="15.75" customHeight="1">
      <c r="D525" s="1"/>
      <c r="F525" s="2"/>
      <c r="G525" s="3"/>
    </row>
    <row r="526" ht="15.75" customHeight="1">
      <c r="D526" s="1"/>
      <c r="F526" s="2"/>
      <c r="G526" s="3"/>
    </row>
    <row r="527" ht="15.75" customHeight="1">
      <c r="D527" s="1"/>
      <c r="F527" s="2"/>
      <c r="G527" s="3"/>
    </row>
    <row r="528" ht="15.75" customHeight="1">
      <c r="D528" s="1"/>
      <c r="F528" s="2"/>
      <c r="G528" s="3"/>
    </row>
    <row r="529" ht="15.75" customHeight="1">
      <c r="D529" s="1"/>
      <c r="F529" s="2"/>
      <c r="G529" s="3"/>
    </row>
    <row r="530" ht="15.75" customHeight="1">
      <c r="D530" s="1"/>
      <c r="F530" s="2"/>
      <c r="G530" s="3"/>
    </row>
    <row r="531" ht="15.75" customHeight="1">
      <c r="D531" s="1"/>
      <c r="F531" s="2"/>
      <c r="G531" s="3"/>
    </row>
    <row r="532" ht="15.75" customHeight="1">
      <c r="D532" s="1"/>
      <c r="F532" s="2"/>
      <c r="G532" s="3"/>
    </row>
    <row r="533" ht="15.75" customHeight="1">
      <c r="D533" s="1"/>
      <c r="F533" s="2"/>
      <c r="G533" s="3"/>
    </row>
    <row r="534" ht="15.75" customHeight="1">
      <c r="D534" s="1"/>
      <c r="F534" s="2"/>
      <c r="G534" s="3"/>
    </row>
    <row r="535" ht="15.75" customHeight="1">
      <c r="D535" s="1"/>
      <c r="F535" s="2"/>
      <c r="G535" s="3"/>
    </row>
    <row r="536" ht="15.75" customHeight="1">
      <c r="D536" s="1"/>
      <c r="F536" s="2"/>
      <c r="G536" s="3"/>
    </row>
    <row r="537" ht="15.75" customHeight="1">
      <c r="D537" s="1"/>
      <c r="F537" s="2"/>
      <c r="G537" s="3"/>
    </row>
    <row r="538" ht="15.75" customHeight="1">
      <c r="D538" s="1"/>
      <c r="F538" s="2"/>
      <c r="G538" s="3"/>
    </row>
    <row r="539" ht="15.75" customHeight="1">
      <c r="D539" s="1"/>
      <c r="F539" s="2"/>
      <c r="G539" s="3"/>
    </row>
    <row r="540" ht="15.75" customHeight="1">
      <c r="D540" s="1"/>
      <c r="F540" s="2"/>
      <c r="G540" s="3"/>
    </row>
    <row r="541" ht="15.75" customHeight="1">
      <c r="D541" s="1"/>
      <c r="F541" s="2"/>
      <c r="G541" s="3"/>
    </row>
    <row r="542" ht="15.75" customHeight="1">
      <c r="D542" s="1"/>
      <c r="F542" s="2"/>
      <c r="G542" s="3"/>
    </row>
    <row r="543" ht="15.75" customHeight="1">
      <c r="D543" s="1"/>
      <c r="F543" s="2"/>
      <c r="G543" s="3"/>
    </row>
    <row r="544" ht="15.75" customHeight="1">
      <c r="D544" s="1"/>
      <c r="F544" s="2"/>
      <c r="G544" s="3"/>
    </row>
    <row r="545" ht="15.75" customHeight="1">
      <c r="D545" s="1"/>
      <c r="F545" s="2"/>
      <c r="G545" s="3"/>
    </row>
    <row r="546" ht="15.75" customHeight="1">
      <c r="D546" s="1"/>
      <c r="F546" s="2"/>
      <c r="G546" s="3"/>
    </row>
    <row r="547" ht="15.75" customHeight="1">
      <c r="D547" s="1"/>
      <c r="F547" s="2"/>
      <c r="G547" s="3"/>
    </row>
    <row r="548" ht="15.75" customHeight="1">
      <c r="D548" s="1"/>
      <c r="F548" s="2"/>
      <c r="G548" s="3"/>
    </row>
    <row r="549" ht="15.75" customHeight="1">
      <c r="D549" s="1"/>
      <c r="F549" s="2"/>
      <c r="G549" s="3"/>
    </row>
    <row r="550" ht="15.75" customHeight="1">
      <c r="D550" s="1"/>
      <c r="F550" s="2"/>
      <c r="G550" s="3"/>
    </row>
    <row r="551" ht="15.75" customHeight="1">
      <c r="D551" s="1"/>
      <c r="F551" s="2"/>
      <c r="G551" s="3"/>
    </row>
    <row r="552" ht="15.75" customHeight="1">
      <c r="D552" s="1"/>
      <c r="F552" s="2"/>
      <c r="G552" s="3"/>
    </row>
    <row r="553" ht="15.75" customHeight="1">
      <c r="D553" s="1"/>
      <c r="F553" s="2"/>
      <c r="G553" s="3"/>
    </row>
    <row r="554" ht="15.75" customHeight="1">
      <c r="D554" s="1"/>
      <c r="F554" s="2"/>
      <c r="G554" s="3"/>
    </row>
    <row r="555" ht="15.75" customHeight="1">
      <c r="D555" s="1"/>
      <c r="F555" s="2"/>
      <c r="G555" s="3"/>
    </row>
    <row r="556" ht="15.75" customHeight="1">
      <c r="D556" s="1"/>
      <c r="F556" s="2"/>
      <c r="G556" s="3"/>
    </row>
    <row r="557" ht="15.75" customHeight="1">
      <c r="D557" s="1"/>
      <c r="F557" s="2"/>
      <c r="G557" s="3"/>
    </row>
    <row r="558" ht="15.75" customHeight="1">
      <c r="D558" s="1"/>
      <c r="F558" s="2"/>
      <c r="G558" s="3"/>
    </row>
    <row r="559" ht="15.75" customHeight="1">
      <c r="D559" s="1"/>
      <c r="F559" s="2"/>
      <c r="G559" s="3"/>
    </row>
    <row r="560" ht="15.75" customHeight="1">
      <c r="D560" s="1"/>
      <c r="F560" s="2"/>
      <c r="G560" s="3"/>
    </row>
    <row r="561" ht="15.75" customHeight="1">
      <c r="D561" s="1"/>
      <c r="F561" s="2"/>
      <c r="G561" s="3"/>
    </row>
    <row r="562" ht="15.75" customHeight="1">
      <c r="D562" s="1"/>
      <c r="F562" s="2"/>
      <c r="G562" s="3"/>
    </row>
    <row r="563" ht="15.75" customHeight="1">
      <c r="D563" s="1"/>
      <c r="F563" s="2"/>
      <c r="G563" s="3"/>
    </row>
    <row r="564" ht="15.75" customHeight="1">
      <c r="D564" s="1"/>
      <c r="F564" s="2"/>
      <c r="G564" s="3"/>
    </row>
    <row r="565" ht="15.75" customHeight="1">
      <c r="D565" s="1"/>
      <c r="F565" s="2"/>
      <c r="G565" s="3"/>
    </row>
    <row r="566" ht="15.75" customHeight="1">
      <c r="D566" s="1"/>
      <c r="F566" s="2"/>
      <c r="G566" s="3"/>
    </row>
    <row r="567" ht="15.75" customHeight="1">
      <c r="D567" s="1"/>
      <c r="F567" s="2"/>
      <c r="G567" s="3"/>
    </row>
    <row r="568" ht="15.75" customHeight="1">
      <c r="D568" s="1"/>
      <c r="F568" s="2"/>
      <c r="G568" s="3"/>
    </row>
    <row r="569" ht="15.75" customHeight="1">
      <c r="D569" s="1"/>
      <c r="F569" s="2"/>
      <c r="G569" s="3"/>
    </row>
    <row r="570" ht="15.75" customHeight="1">
      <c r="D570" s="1"/>
      <c r="F570" s="2"/>
      <c r="G570" s="3"/>
    </row>
    <row r="571" ht="15.75" customHeight="1">
      <c r="D571" s="1"/>
      <c r="F571" s="2"/>
      <c r="G571" s="3"/>
    </row>
    <row r="572" ht="15.75" customHeight="1">
      <c r="D572" s="1"/>
      <c r="F572" s="2"/>
      <c r="G572" s="3"/>
    </row>
    <row r="573" ht="15.75" customHeight="1">
      <c r="D573" s="1"/>
      <c r="F573" s="2"/>
      <c r="G573" s="3"/>
    </row>
    <row r="574" ht="15.75" customHeight="1">
      <c r="D574" s="1"/>
      <c r="F574" s="2"/>
      <c r="G574" s="3"/>
    </row>
    <row r="575" ht="15.75" customHeight="1">
      <c r="D575" s="1"/>
      <c r="F575" s="2"/>
      <c r="G575" s="3"/>
    </row>
    <row r="576" ht="15.75" customHeight="1">
      <c r="D576" s="1"/>
      <c r="F576" s="2"/>
      <c r="G576" s="3"/>
    </row>
    <row r="577" ht="15.75" customHeight="1">
      <c r="D577" s="1"/>
      <c r="F577" s="2"/>
      <c r="G577" s="3"/>
    </row>
    <row r="578" ht="15.75" customHeight="1">
      <c r="D578" s="1"/>
      <c r="F578" s="2"/>
      <c r="G578" s="3"/>
    </row>
    <row r="579" ht="15.75" customHeight="1">
      <c r="D579" s="1"/>
      <c r="F579" s="2"/>
      <c r="G579" s="3"/>
    </row>
    <row r="580" ht="15.75" customHeight="1">
      <c r="D580" s="1"/>
      <c r="F580" s="2"/>
      <c r="G580" s="3"/>
    </row>
    <row r="581" ht="15.75" customHeight="1">
      <c r="D581" s="1"/>
      <c r="F581" s="2"/>
      <c r="G581" s="3"/>
    </row>
    <row r="582" ht="15.75" customHeight="1">
      <c r="D582" s="1"/>
      <c r="F582" s="2"/>
      <c r="G582" s="3"/>
    </row>
    <row r="583" ht="15.75" customHeight="1">
      <c r="D583" s="1"/>
      <c r="F583" s="2"/>
      <c r="G583" s="3"/>
    </row>
    <row r="584" ht="15.75" customHeight="1">
      <c r="D584" s="1"/>
      <c r="F584" s="2"/>
      <c r="G584" s="3"/>
    </row>
    <row r="585" ht="15.75" customHeight="1">
      <c r="D585" s="1"/>
      <c r="F585" s="2"/>
      <c r="G585" s="3"/>
    </row>
    <row r="586" ht="15.75" customHeight="1">
      <c r="D586" s="1"/>
      <c r="F586" s="2"/>
      <c r="G586" s="3"/>
    </row>
    <row r="587" ht="15.75" customHeight="1">
      <c r="D587" s="1"/>
      <c r="F587" s="2"/>
      <c r="G587" s="3"/>
    </row>
    <row r="588" ht="15.75" customHeight="1">
      <c r="D588" s="1"/>
      <c r="F588" s="2"/>
      <c r="G588" s="3"/>
    </row>
    <row r="589" ht="15.75" customHeight="1">
      <c r="D589" s="1"/>
      <c r="F589" s="2"/>
      <c r="G589" s="3"/>
    </row>
    <row r="590" ht="15.75" customHeight="1">
      <c r="D590" s="1"/>
      <c r="F590" s="2"/>
      <c r="G590" s="3"/>
    </row>
    <row r="591" ht="15.75" customHeight="1">
      <c r="D591" s="1"/>
      <c r="F591" s="2"/>
      <c r="G591" s="3"/>
    </row>
    <row r="592" ht="15.75" customHeight="1">
      <c r="D592" s="1"/>
      <c r="F592" s="2"/>
      <c r="G592" s="3"/>
    </row>
    <row r="593" ht="15.75" customHeight="1">
      <c r="D593" s="1"/>
      <c r="F593" s="2"/>
      <c r="G593" s="3"/>
    </row>
    <row r="594" ht="15.75" customHeight="1">
      <c r="D594" s="1"/>
      <c r="F594" s="2"/>
      <c r="G594" s="3"/>
    </row>
    <row r="595" ht="15.75" customHeight="1">
      <c r="D595" s="1"/>
      <c r="F595" s="2"/>
      <c r="G595" s="3"/>
    </row>
    <row r="596" ht="15.75" customHeight="1">
      <c r="D596" s="1"/>
      <c r="F596" s="2"/>
      <c r="G596" s="3"/>
    </row>
    <row r="597" ht="15.75" customHeight="1">
      <c r="D597" s="1"/>
      <c r="F597" s="2"/>
      <c r="G597" s="3"/>
    </row>
    <row r="598" ht="15.75" customHeight="1">
      <c r="D598" s="1"/>
      <c r="F598" s="2"/>
      <c r="G598" s="3"/>
    </row>
    <row r="599" ht="15.75" customHeight="1">
      <c r="D599" s="1"/>
      <c r="F599" s="2"/>
      <c r="G599" s="3"/>
    </row>
    <row r="600" ht="15.75" customHeight="1">
      <c r="D600" s="1"/>
      <c r="F600" s="2"/>
      <c r="G600" s="3"/>
    </row>
    <row r="601" ht="15.75" customHeight="1">
      <c r="D601" s="1"/>
      <c r="F601" s="2"/>
      <c r="G601" s="3"/>
    </row>
    <row r="602" ht="15.75" customHeight="1">
      <c r="D602" s="1"/>
      <c r="F602" s="2"/>
      <c r="G602" s="3"/>
    </row>
    <row r="603" ht="15.75" customHeight="1">
      <c r="D603" s="1"/>
      <c r="F603" s="2"/>
      <c r="G603" s="3"/>
    </row>
    <row r="604" ht="15.75" customHeight="1">
      <c r="D604" s="1"/>
      <c r="F604" s="2"/>
      <c r="G604" s="3"/>
    </row>
    <row r="605" ht="15.75" customHeight="1">
      <c r="D605" s="1"/>
      <c r="F605" s="2"/>
      <c r="G605" s="3"/>
    </row>
    <row r="606" ht="15.75" customHeight="1">
      <c r="D606" s="1"/>
      <c r="F606" s="2"/>
      <c r="G606" s="3"/>
    </row>
    <row r="607" ht="15.75" customHeight="1">
      <c r="D607" s="1"/>
      <c r="F607" s="2"/>
      <c r="G607" s="3"/>
    </row>
    <row r="608" ht="15.75" customHeight="1">
      <c r="D608" s="1"/>
      <c r="F608" s="2"/>
      <c r="G608" s="3"/>
    </row>
    <row r="609" ht="15.75" customHeight="1">
      <c r="D609" s="1"/>
      <c r="F609" s="2"/>
      <c r="G609" s="3"/>
    </row>
    <row r="610" ht="15.75" customHeight="1">
      <c r="D610" s="1"/>
      <c r="F610" s="2"/>
      <c r="G610" s="3"/>
    </row>
    <row r="611" ht="15.75" customHeight="1">
      <c r="D611" s="1"/>
      <c r="F611" s="2"/>
      <c r="G611" s="3"/>
    </row>
    <row r="612" ht="15.75" customHeight="1">
      <c r="D612" s="1"/>
      <c r="F612" s="2"/>
      <c r="G612" s="3"/>
    </row>
    <row r="613" ht="15.75" customHeight="1">
      <c r="D613" s="1"/>
      <c r="F613" s="2"/>
      <c r="G613" s="3"/>
    </row>
    <row r="614" ht="15.75" customHeight="1">
      <c r="D614" s="1"/>
      <c r="F614" s="2"/>
      <c r="G614" s="3"/>
    </row>
    <row r="615" ht="15.75" customHeight="1">
      <c r="D615" s="1"/>
      <c r="F615" s="2"/>
      <c r="G615" s="3"/>
    </row>
    <row r="616" ht="15.75" customHeight="1">
      <c r="D616" s="1"/>
      <c r="F616" s="2"/>
      <c r="G616" s="3"/>
    </row>
    <row r="617" ht="15.75" customHeight="1">
      <c r="D617" s="1"/>
      <c r="F617" s="2"/>
      <c r="G617" s="3"/>
    </row>
    <row r="618" ht="15.75" customHeight="1">
      <c r="D618" s="1"/>
      <c r="F618" s="2"/>
      <c r="G618" s="3"/>
    </row>
    <row r="619" ht="15.75" customHeight="1">
      <c r="D619" s="1"/>
      <c r="F619" s="2"/>
      <c r="G619" s="3"/>
    </row>
    <row r="620" ht="15.75" customHeight="1">
      <c r="D620" s="1"/>
      <c r="F620" s="2"/>
      <c r="G620" s="3"/>
    </row>
    <row r="621" ht="15.75" customHeight="1">
      <c r="D621" s="1"/>
      <c r="F621" s="2"/>
      <c r="G621" s="3"/>
    </row>
    <row r="622" ht="15.75" customHeight="1">
      <c r="D622" s="1"/>
      <c r="F622" s="2"/>
      <c r="G622" s="3"/>
    </row>
    <row r="623" ht="15.75" customHeight="1">
      <c r="D623" s="1"/>
      <c r="F623" s="2"/>
      <c r="G623" s="3"/>
    </row>
    <row r="624" ht="15.75" customHeight="1">
      <c r="D624" s="1"/>
      <c r="F624" s="2"/>
      <c r="G624" s="3"/>
    </row>
    <row r="625" ht="15.75" customHeight="1">
      <c r="D625" s="1"/>
      <c r="F625" s="2"/>
      <c r="G625" s="3"/>
    </row>
    <row r="626" ht="15.75" customHeight="1">
      <c r="D626" s="1"/>
      <c r="F626" s="2"/>
      <c r="G626" s="3"/>
    </row>
    <row r="627" ht="15.75" customHeight="1">
      <c r="D627" s="1"/>
      <c r="F627" s="2"/>
      <c r="G627" s="3"/>
    </row>
    <row r="628" ht="15.75" customHeight="1">
      <c r="D628" s="1"/>
      <c r="F628" s="2"/>
      <c r="G628" s="3"/>
    </row>
    <row r="629" ht="15.75" customHeight="1">
      <c r="D629" s="1"/>
      <c r="F629" s="2"/>
      <c r="G629" s="3"/>
    </row>
    <row r="630" ht="15.75" customHeight="1">
      <c r="D630" s="1"/>
      <c r="F630" s="2"/>
      <c r="G630" s="3"/>
    </row>
    <row r="631" ht="15.75" customHeight="1">
      <c r="D631" s="1"/>
      <c r="F631" s="2"/>
      <c r="G631" s="3"/>
    </row>
    <row r="632" ht="15.75" customHeight="1">
      <c r="D632" s="1"/>
      <c r="F632" s="2"/>
      <c r="G632" s="3"/>
    </row>
    <row r="633" ht="15.75" customHeight="1">
      <c r="D633" s="1"/>
      <c r="F633" s="2"/>
      <c r="G633" s="3"/>
    </row>
    <row r="634" ht="15.75" customHeight="1">
      <c r="D634" s="1"/>
      <c r="F634" s="2"/>
      <c r="G634" s="3"/>
    </row>
    <row r="635" ht="15.75" customHeight="1">
      <c r="D635" s="1"/>
      <c r="F635" s="2"/>
      <c r="G635" s="3"/>
    </row>
    <row r="636" ht="15.75" customHeight="1">
      <c r="D636" s="1"/>
      <c r="F636" s="2"/>
      <c r="G636" s="3"/>
    </row>
    <row r="637" ht="15.75" customHeight="1">
      <c r="D637" s="1"/>
      <c r="F637" s="2"/>
      <c r="G637" s="3"/>
    </row>
    <row r="638" ht="15.75" customHeight="1">
      <c r="D638" s="1"/>
      <c r="F638" s="2"/>
      <c r="G638" s="3"/>
    </row>
    <row r="639" ht="15.75" customHeight="1">
      <c r="D639" s="1"/>
      <c r="F639" s="2"/>
      <c r="G639" s="3"/>
    </row>
    <row r="640" ht="15.75" customHeight="1">
      <c r="D640" s="1"/>
      <c r="F640" s="2"/>
      <c r="G640" s="3"/>
    </row>
    <row r="641" ht="15.75" customHeight="1">
      <c r="D641" s="1"/>
      <c r="F641" s="2"/>
      <c r="G641" s="3"/>
    </row>
    <row r="642" ht="15.75" customHeight="1">
      <c r="D642" s="1"/>
      <c r="F642" s="2"/>
      <c r="G642" s="3"/>
    </row>
    <row r="643" ht="15.75" customHeight="1">
      <c r="D643" s="1"/>
      <c r="F643" s="2"/>
      <c r="G643" s="3"/>
    </row>
    <row r="644" ht="15.75" customHeight="1">
      <c r="D644" s="1"/>
      <c r="F644" s="2"/>
      <c r="G644" s="3"/>
    </row>
    <row r="645" ht="15.75" customHeight="1">
      <c r="D645" s="1"/>
      <c r="F645" s="2"/>
      <c r="G645" s="3"/>
    </row>
    <row r="646" ht="15.75" customHeight="1">
      <c r="D646" s="1"/>
      <c r="F646" s="2"/>
      <c r="G646" s="3"/>
    </row>
    <row r="647" ht="15.75" customHeight="1">
      <c r="D647" s="1"/>
      <c r="F647" s="2"/>
      <c r="G647" s="3"/>
    </row>
    <row r="648" ht="15.75" customHeight="1">
      <c r="D648" s="1"/>
      <c r="F648" s="2"/>
      <c r="G648" s="3"/>
    </row>
    <row r="649" ht="15.75" customHeight="1">
      <c r="D649" s="1"/>
      <c r="F649" s="2"/>
      <c r="G649" s="3"/>
    </row>
    <row r="650" ht="15.75" customHeight="1">
      <c r="D650" s="1"/>
      <c r="F650" s="2"/>
      <c r="G650" s="3"/>
    </row>
    <row r="651" ht="15.75" customHeight="1">
      <c r="D651" s="1"/>
      <c r="F651" s="2"/>
      <c r="G651" s="3"/>
    </row>
    <row r="652" ht="15.75" customHeight="1">
      <c r="D652" s="1"/>
      <c r="F652" s="2"/>
      <c r="G652" s="3"/>
    </row>
    <row r="653" ht="15.75" customHeight="1">
      <c r="D653" s="1"/>
      <c r="F653" s="2"/>
      <c r="G653" s="3"/>
    </row>
    <row r="654" ht="15.75" customHeight="1">
      <c r="D654" s="1"/>
      <c r="F654" s="2"/>
      <c r="G654" s="3"/>
    </row>
    <row r="655" ht="15.75" customHeight="1">
      <c r="D655" s="1"/>
      <c r="F655" s="2"/>
      <c r="G655" s="3"/>
    </row>
    <row r="656" ht="15.75" customHeight="1">
      <c r="D656" s="1"/>
      <c r="F656" s="2"/>
      <c r="G656" s="3"/>
    </row>
    <row r="657" ht="15.75" customHeight="1">
      <c r="D657" s="1"/>
      <c r="F657" s="2"/>
      <c r="G657" s="3"/>
    </row>
    <row r="658" ht="15.75" customHeight="1">
      <c r="D658" s="1"/>
      <c r="F658" s="2"/>
      <c r="G658" s="3"/>
    </row>
    <row r="659" ht="15.75" customHeight="1">
      <c r="D659" s="1"/>
      <c r="F659" s="2"/>
      <c r="G659" s="3"/>
    </row>
    <row r="660" ht="15.75" customHeight="1">
      <c r="D660" s="1"/>
      <c r="F660" s="2"/>
      <c r="G660" s="3"/>
    </row>
    <row r="661" ht="15.75" customHeight="1">
      <c r="D661" s="1"/>
      <c r="F661" s="2"/>
      <c r="G661" s="3"/>
    </row>
    <row r="662" ht="15.75" customHeight="1">
      <c r="D662" s="1"/>
      <c r="F662" s="2"/>
      <c r="G662" s="3"/>
    </row>
    <row r="663" ht="15.75" customHeight="1">
      <c r="D663" s="1"/>
      <c r="F663" s="2"/>
      <c r="G663" s="3"/>
    </row>
    <row r="664" ht="15.75" customHeight="1">
      <c r="D664" s="1"/>
      <c r="F664" s="2"/>
      <c r="G664" s="3"/>
    </row>
    <row r="665" ht="15.75" customHeight="1">
      <c r="D665" s="1"/>
      <c r="F665" s="2"/>
      <c r="G665" s="3"/>
    </row>
    <row r="666" ht="15.75" customHeight="1">
      <c r="D666" s="1"/>
      <c r="F666" s="2"/>
      <c r="G666" s="3"/>
    </row>
    <row r="667" ht="15.75" customHeight="1">
      <c r="D667" s="1"/>
      <c r="F667" s="2"/>
      <c r="G667" s="3"/>
    </row>
    <row r="668" ht="15.75" customHeight="1">
      <c r="D668" s="1"/>
      <c r="F668" s="2"/>
      <c r="G668" s="3"/>
    </row>
    <row r="669" ht="15.75" customHeight="1">
      <c r="D669" s="1"/>
      <c r="F669" s="2"/>
      <c r="G669" s="3"/>
    </row>
    <row r="670" ht="15.75" customHeight="1">
      <c r="D670" s="1"/>
      <c r="F670" s="2"/>
      <c r="G670" s="3"/>
    </row>
    <row r="671" ht="15.75" customHeight="1">
      <c r="D671" s="1"/>
      <c r="F671" s="2"/>
      <c r="G671" s="3"/>
    </row>
    <row r="672" ht="15.75" customHeight="1">
      <c r="D672" s="1"/>
      <c r="F672" s="2"/>
      <c r="G672" s="3"/>
    </row>
    <row r="673" ht="15.75" customHeight="1">
      <c r="D673" s="1"/>
      <c r="F673" s="2"/>
      <c r="G673" s="3"/>
    </row>
    <row r="674" ht="15.75" customHeight="1">
      <c r="D674" s="1"/>
      <c r="F674" s="2"/>
      <c r="G674" s="3"/>
    </row>
    <row r="675" ht="15.75" customHeight="1">
      <c r="D675" s="1"/>
      <c r="F675" s="2"/>
      <c r="G675" s="3"/>
    </row>
    <row r="676" ht="15.75" customHeight="1">
      <c r="D676" s="1"/>
      <c r="F676" s="2"/>
      <c r="G676" s="3"/>
    </row>
    <row r="677" ht="15.75" customHeight="1">
      <c r="D677" s="1"/>
      <c r="F677" s="2"/>
      <c r="G677" s="3"/>
    </row>
    <row r="678" ht="15.75" customHeight="1">
      <c r="D678" s="1"/>
      <c r="F678" s="2"/>
      <c r="G678" s="3"/>
    </row>
    <row r="679" ht="15.75" customHeight="1">
      <c r="D679" s="1"/>
      <c r="F679" s="2"/>
      <c r="G679" s="3"/>
    </row>
    <row r="680" ht="15.75" customHeight="1">
      <c r="D680" s="1"/>
      <c r="F680" s="2"/>
      <c r="G680" s="3"/>
    </row>
    <row r="681" ht="15.75" customHeight="1">
      <c r="D681" s="1"/>
      <c r="F681" s="2"/>
      <c r="G681" s="3"/>
    </row>
    <row r="682" ht="15.75" customHeight="1">
      <c r="D682" s="1"/>
      <c r="F682" s="2"/>
      <c r="G682" s="3"/>
    </row>
    <row r="683" ht="15.75" customHeight="1">
      <c r="D683" s="1"/>
      <c r="F683" s="2"/>
      <c r="G683" s="3"/>
    </row>
    <row r="684" ht="15.75" customHeight="1">
      <c r="D684" s="1"/>
      <c r="F684" s="2"/>
      <c r="G684" s="3"/>
    </row>
    <row r="685" ht="15.75" customHeight="1">
      <c r="D685" s="1"/>
      <c r="F685" s="2"/>
      <c r="G685" s="3"/>
    </row>
    <row r="686" ht="15.75" customHeight="1">
      <c r="D686" s="1"/>
      <c r="F686" s="2"/>
      <c r="G686" s="3"/>
    </row>
    <row r="687" ht="15.75" customHeight="1">
      <c r="D687" s="1"/>
      <c r="F687" s="2"/>
      <c r="G687" s="3"/>
    </row>
    <row r="688" ht="15.75" customHeight="1">
      <c r="D688" s="1"/>
      <c r="F688" s="2"/>
      <c r="G688" s="3"/>
    </row>
    <row r="689" ht="15.75" customHeight="1">
      <c r="D689" s="1"/>
      <c r="F689" s="2"/>
      <c r="G689" s="3"/>
    </row>
    <row r="690" ht="15.75" customHeight="1">
      <c r="D690" s="1"/>
      <c r="F690" s="2"/>
      <c r="G690" s="3"/>
    </row>
    <row r="691" ht="15.75" customHeight="1">
      <c r="D691" s="1"/>
      <c r="F691" s="2"/>
      <c r="G691" s="3"/>
    </row>
    <row r="692" ht="15.75" customHeight="1">
      <c r="D692" s="1"/>
      <c r="F692" s="2"/>
      <c r="G692" s="3"/>
    </row>
    <row r="693" ht="15.75" customHeight="1">
      <c r="D693" s="1"/>
      <c r="F693" s="2"/>
      <c r="G693" s="3"/>
    </row>
    <row r="694" ht="15.75" customHeight="1">
      <c r="D694" s="1"/>
      <c r="F694" s="2"/>
      <c r="G694" s="3"/>
    </row>
    <row r="695" ht="15.75" customHeight="1">
      <c r="D695" s="1"/>
      <c r="F695" s="2"/>
      <c r="G695" s="3"/>
    </row>
    <row r="696" ht="15.75" customHeight="1">
      <c r="D696" s="1"/>
      <c r="F696" s="2"/>
      <c r="G696" s="3"/>
    </row>
    <row r="697" ht="15.75" customHeight="1">
      <c r="D697" s="1"/>
      <c r="F697" s="2"/>
      <c r="G697" s="3"/>
    </row>
    <row r="698" ht="15.75" customHeight="1">
      <c r="D698" s="1"/>
      <c r="F698" s="2"/>
      <c r="G698" s="3"/>
    </row>
    <row r="699" ht="15.75" customHeight="1">
      <c r="D699" s="1"/>
      <c r="F699" s="2"/>
      <c r="G699" s="3"/>
    </row>
    <row r="700" ht="15.75" customHeight="1">
      <c r="D700" s="1"/>
      <c r="F700" s="2"/>
      <c r="G700" s="3"/>
    </row>
    <row r="701" ht="15.75" customHeight="1">
      <c r="D701" s="1"/>
      <c r="F701" s="2"/>
      <c r="G701" s="3"/>
    </row>
    <row r="702" ht="15.75" customHeight="1">
      <c r="D702" s="1"/>
      <c r="F702" s="2"/>
      <c r="G702" s="3"/>
    </row>
    <row r="703" ht="15.75" customHeight="1">
      <c r="D703" s="1"/>
      <c r="F703" s="2"/>
      <c r="G703" s="3"/>
    </row>
    <row r="704" ht="15.75" customHeight="1">
      <c r="D704" s="1"/>
      <c r="F704" s="2"/>
      <c r="G704" s="3"/>
    </row>
    <row r="705" ht="15.75" customHeight="1">
      <c r="D705" s="1"/>
      <c r="F705" s="2"/>
      <c r="G705" s="3"/>
    </row>
    <row r="706" ht="15.75" customHeight="1">
      <c r="D706" s="1"/>
      <c r="F706" s="2"/>
      <c r="G706" s="3"/>
    </row>
    <row r="707" ht="15.75" customHeight="1">
      <c r="D707" s="1"/>
      <c r="F707" s="2"/>
      <c r="G707" s="3"/>
    </row>
    <row r="708" ht="15.75" customHeight="1">
      <c r="D708" s="1"/>
      <c r="F708" s="2"/>
      <c r="G708" s="3"/>
    </row>
    <row r="709" ht="15.75" customHeight="1">
      <c r="D709" s="1"/>
      <c r="F709" s="2"/>
      <c r="G709" s="3"/>
    </row>
    <row r="710" ht="15.75" customHeight="1">
      <c r="D710" s="1"/>
      <c r="F710" s="2"/>
      <c r="G710" s="3"/>
    </row>
    <row r="711" ht="15.75" customHeight="1">
      <c r="D711" s="1"/>
      <c r="F711" s="2"/>
      <c r="G711" s="3"/>
    </row>
    <row r="712" ht="15.75" customHeight="1">
      <c r="D712" s="1"/>
      <c r="F712" s="2"/>
      <c r="G712" s="3"/>
    </row>
    <row r="713" ht="15.75" customHeight="1">
      <c r="D713" s="1"/>
      <c r="F713" s="2"/>
      <c r="G713" s="3"/>
    </row>
    <row r="714" ht="15.75" customHeight="1">
      <c r="D714" s="1"/>
      <c r="F714" s="2"/>
      <c r="G714" s="3"/>
    </row>
    <row r="715" ht="15.75" customHeight="1">
      <c r="D715" s="1"/>
      <c r="F715" s="2"/>
      <c r="G715" s="3"/>
    </row>
    <row r="716" ht="15.75" customHeight="1">
      <c r="D716" s="1"/>
      <c r="F716" s="2"/>
      <c r="G716" s="3"/>
    </row>
    <row r="717" ht="15.75" customHeight="1">
      <c r="D717" s="1"/>
      <c r="F717" s="2"/>
      <c r="G717" s="3"/>
    </row>
    <row r="718" ht="15.75" customHeight="1">
      <c r="D718" s="1"/>
      <c r="F718" s="2"/>
      <c r="G718" s="3"/>
    </row>
    <row r="719" ht="15.75" customHeight="1">
      <c r="D719" s="1"/>
      <c r="F719" s="2"/>
      <c r="G719" s="3"/>
    </row>
    <row r="720" ht="15.75" customHeight="1">
      <c r="D720" s="1"/>
      <c r="F720" s="2"/>
      <c r="G720" s="3"/>
    </row>
    <row r="721" ht="15.75" customHeight="1">
      <c r="D721" s="1"/>
      <c r="F721" s="2"/>
      <c r="G721" s="3"/>
    </row>
    <row r="722" ht="15.75" customHeight="1">
      <c r="D722" s="1"/>
      <c r="F722" s="2"/>
      <c r="G722" s="3"/>
    </row>
    <row r="723" ht="15.75" customHeight="1">
      <c r="D723" s="1"/>
      <c r="F723" s="2"/>
      <c r="G723" s="3"/>
    </row>
    <row r="724" ht="15.75" customHeight="1">
      <c r="D724" s="1"/>
      <c r="F724" s="2"/>
      <c r="G724" s="3"/>
    </row>
    <row r="725" ht="15.75" customHeight="1">
      <c r="D725" s="1"/>
      <c r="F725" s="2"/>
      <c r="G725" s="3"/>
    </row>
    <row r="726" ht="15.75" customHeight="1">
      <c r="D726" s="1"/>
      <c r="F726" s="2"/>
      <c r="G726" s="3"/>
    </row>
    <row r="727" ht="15.75" customHeight="1">
      <c r="D727" s="1"/>
      <c r="F727" s="2"/>
      <c r="G727" s="3"/>
    </row>
    <row r="728" ht="15.75" customHeight="1">
      <c r="D728" s="1"/>
      <c r="F728" s="2"/>
      <c r="G728" s="3"/>
    </row>
    <row r="729" ht="15.75" customHeight="1">
      <c r="D729" s="1"/>
      <c r="F729" s="2"/>
      <c r="G729" s="3"/>
    </row>
    <row r="730" ht="15.75" customHeight="1">
      <c r="D730" s="1"/>
      <c r="F730" s="2"/>
      <c r="G730" s="3"/>
    </row>
    <row r="731" ht="15.75" customHeight="1">
      <c r="D731" s="1"/>
      <c r="F731" s="2"/>
      <c r="G731" s="3"/>
    </row>
    <row r="732" ht="15.75" customHeight="1">
      <c r="D732" s="1"/>
      <c r="F732" s="2"/>
      <c r="G732" s="3"/>
    </row>
    <row r="733" ht="15.75" customHeight="1">
      <c r="D733" s="1"/>
      <c r="F733" s="2"/>
      <c r="G733" s="3"/>
    </row>
    <row r="734" ht="15.75" customHeight="1">
      <c r="D734" s="1"/>
      <c r="F734" s="2"/>
      <c r="G734" s="3"/>
    </row>
    <row r="735" ht="15.75" customHeight="1">
      <c r="D735" s="1"/>
      <c r="F735" s="2"/>
      <c r="G735" s="3"/>
    </row>
    <row r="736" ht="15.75" customHeight="1">
      <c r="D736" s="1"/>
      <c r="F736" s="2"/>
      <c r="G736" s="3"/>
    </row>
    <row r="737" ht="15.75" customHeight="1">
      <c r="D737" s="1"/>
      <c r="F737" s="2"/>
      <c r="G737" s="3"/>
    </row>
    <row r="738" ht="15.75" customHeight="1">
      <c r="D738" s="1"/>
      <c r="F738" s="2"/>
      <c r="G738" s="3"/>
    </row>
    <row r="739" ht="15.75" customHeight="1">
      <c r="D739" s="1"/>
      <c r="F739" s="2"/>
      <c r="G739" s="3"/>
    </row>
    <row r="740" ht="15.75" customHeight="1">
      <c r="D740" s="1"/>
      <c r="F740" s="2"/>
      <c r="G740" s="3"/>
    </row>
    <row r="741" ht="15.75" customHeight="1">
      <c r="D741" s="1"/>
      <c r="F741" s="2"/>
      <c r="G741" s="3"/>
    </row>
    <row r="742" ht="15.75" customHeight="1">
      <c r="D742" s="1"/>
      <c r="F742" s="2"/>
      <c r="G742" s="3"/>
    </row>
    <row r="743" ht="15.75" customHeight="1">
      <c r="D743" s="1"/>
      <c r="F743" s="2"/>
      <c r="G743" s="3"/>
    </row>
    <row r="744" ht="15.75" customHeight="1">
      <c r="D744" s="1"/>
      <c r="F744" s="2"/>
      <c r="G744" s="3"/>
    </row>
    <row r="745" ht="15.75" customHeight="1">
      <c r="D745" s="1"/>
      <c r="F745" s="2"/>
      <c r="G745" s="3"/>
    </row>
    <row r="746" ht="15.75" customHeight="1">
      <c r="D746" s="1"/>
      <c r="F746" s="2"/>
      <c r="G746" s="3"/>
    </row>
    <row r="747" ht="15.75" customHeight="1">
      <c r="D747" s="1"/>
      <c r="F747" s="2"/>
      <c r="G747" s="3"/>
    </row>
    <row r="748" ht="15.75" customHeight="1">
      <c r="D748" s="1"/>
      <c r="F748" s="2"/>
      <c r="G748" s="3"/>
    </row>
    <row r="749" ht="15.75" customHeight="1">
      <c r="D749" s="1"/>
      <c r="F749" s="2"/>
      <c r="G749" s="3"/>
    </row>
    <row r="750" ht="15.75" customHeight="1">
      <c r="D750" s="1"/>
      <c r="F750" s="2"/>
      <c r="G750" s="3"/>
    </row>
    <row r="751" ht="15.75" customHeight="1">
      <c r="D751" s="1"/>
      <c r="F751" s="2"/>
      <c r="G751" s="3"/>
    </row>
    <row r="752" ht="15.75" customHeight="1">
      <c r="D752" s="1"/>
      <c r="F752" s="2"/>
      <c r="G752" s="3"/>
    </row>
    <row r="753" ht="15.75" customHeight="1">
      <c r="D753" s="1"/>
      <c r="F753" s="2"/>
      <c r="G753" s="3"/>
    </row>
    <row r="754" ht="15.75" customHeight="1">
      <c r="D754" s="1"/>
      <c r="F754" s="2"/>
      <c r="G754" s="3"/>
    </row>
    <row r="755" ht="15.75" customHeight="1">
      <c r="D755" s="1"/>
      <c r="F755" s="2"/>
      <c r="G755" s="3"/>
    </row>
    <row r="756" ht="15.75" customHeight="1">
      <c r="D756" s="1"/>
      <c r="F756" s="2"/>
      <c r="G756" s="3"/>
    </row>
    <row r="757" ht="15.75" customHeight="1">
      <c r="D757" s="1"/>
      <c r="F757" s="2"/>
      <c r="G757" s="3"/>
    </row>
    <row r="758" ht="15.75" customHeight="1">
      <c r="D758" s="1"/>
      <c r="F758" s="2"/>
      <c r="G758" s="3"/>
    </row>
    <row r="759" ht="15.75" customHeight="1">
      <c r="D759" s="1"/>
      <c r="F759" s="2"/>
      <c r="G759" s="3"/>
    </row>
    <row r="760" ht="15.75" customHeight="1">
      <c r="D760" s="1"/>
      <c r="F760" s="2"/>
      <c r="G760" s="3"/>
    </row>
    <row r="761" ht="15.75" customHeight="1">
      <c r="D761" s="1"/>
      <c r="F761" s="2"/>
      <c r="G761" s="3"/>
    </row>
    <row r="762" ht="15.75" customHeight="1">
      <c r="D762" s="1"/>
      <c r="F762" s="2"/>
      <c r="G762" s="3"/>
    </row>
    <row r="763" ht="15.75" customHeight="1">
      <c r="D763" s="1"/>
      <c r="F763" s="2"/>
      <c r="G763" s="3"/>
    </row>
    <row r="764" ht="15.75" customHeight="1">
      <c r="D764" s="1"/>
      <c r="F764" s="2"/>
      <c r="G764" s="3"/>
    </row>
    <row r="765" ht="15.75" customHeight="1">
      <c r="D765" s="1"/>
      <c r="F765" s="2"/>
      <c r="G765" s="3"/>
    </row>
    <row r="766" ht="15.75" customHeight="1">
      <c r="D766" s="1"/>
      <c r="F766" s="2"/>
      <c r="G766" s="3"/>
    </row>
    <row r="767" ht="15.75" customHeight="1">
      <c r="D767" s="1"/>
      <c r="F767" s="2"/>
      <c r="G767" s="3"/>
    </row>
    <row r="768" ht="15.75" customHeight="1">
      <c r="D768" s="1"/>
      <c r="F768" s="2"/>
      <c r="G768" s="3"/>
    </row>
    <row r="769" ht="15.75" customHeight="1">
      <c r="D769" s="1"/>
      <c r="F769" s="2"/>
      <c r="G769" s="3"/>
    </row>
    <row r="770" ht="15.75" customHeight="1">
      <c r="D770" s="1"/>
      <c r="F770" s="2"/>
      <c r="G770" s="3"/>
    </row>
    <row r="771" ht="15.75" customHeight="1">
      <c r="D771" s="1"/>
      <c r="F771" s="2"/>
      <c r="G771" s="3"/>
    </row>
    <row r="772" ht="15.75" customHeight="1">
      <c r="D772" s="1"/>
      <c r="F772" s="2"/>
      <c r="G772" s="3"/>
    </row>
    <row r="773" ht="15.75" customHeight="1">
      <c r="D773" s="1"/>
      <c r="F773" s="2"/>
      <c r="G773" s="3"/>
    </row>
    <row r="774" ht="15.75" customHeight="1">
      <c r="D774" s="1"/>
      <c r="F774" s="2"/>
      <c r="G774" s="3"/>
    </row>
    <row r="775" ht="15.75" customHeight="1">
      <c r="D775" s="1"/>
      <c r="F775" s="2"/>
      <c r="G775" s="3"/>
    </row>
    <row r="776" ht="15.75" customHeight="1">
      <c r="D776" s="1"/>
      <c r="F776" s="2"/>
      <c r="G776" s="3"/>
    </row>
    <row r="777" ht="15.75" customHeight="1">
      <c r="D777" s="1"/>
      <c r="F777" s="2"/>
      <c r="G777" s="3"/>
    </row>
    <row r="778" ht="15.75" customHeight="1">
      <c r="D778" s="1"/>
      <c r="F778" s="2"/>
      <c r="G778" s="3"/>
    </row>
    <row r="779" ht="15.75" customHeight="1">
      <c r="D779" s="1"/>
      <c r="F779" s="2"/>
      <c r="G779" s="3"/>
    </row>
    <row r="780" ht="15.75" customHeight="1">
      <c r="D780" s="1"/>
      <c r="F780" s="2"/>
      <c r="G780" s="3"/>
    </row>
    <row r="781" ht="15.75" customHeight="1">
      <c r="D781" s="1"/>
      <c r="F781" s="2"/>
      <c r="G781" s="3"/>
    </row>
    <row r="782" ht="15.75" customHeight="1">
      <c r="D782" s="1"/>
      <c r="F782" s="2"/>
      <c r="G782" s="3"/>
    </row>
    <row r="783" ht="15.75" customHeight="1">
      <c r="D783" s="1"/>
      <c r="F783" s="2"/>
      <c r="G783" s="3"/>
    </row>
    <row r="784" ht="15.75" customHeight="1">
      <c r="D784" s="1"/>
      <c r="F784" s="2"/>
      <c r="G784" s="3"/>
    </row>
    <row r="785" ht="15.75" customHeight="1">
      <c r="D785" s="1"/>
      <c r="F785" s="2"/>
      <c r="G785" s="3"/>
    </row>
    <row r="786" ht="15.75" customHeight="1">
      <c r="D786" s="1"/>
      <c r="F786" s="2"/>
      <c r="G786" s="3"/>
    </row>
    <row r="787" ht="15.75" customHeight="1">
      <c r="D787" s="1"/>
      <c r="F787" s="2"/>
      <c r="G787" s="3"/>
    </row>
    <row r="788" ht="15.75" customHeight="1">
      <c r="D788" s="1"/>
      <c r="F788" s="2"/>
      <c r="G788" s="3"/>
    </row>
    <row r="789" ht="15.75" customHeight="1">
      <c r="D789" s="1"/>
      <c r="F789" s="2"/>
      <c r="G789" s="3"/>
    </row>
    <row r="790" ht="15.75" customHeight="1">
      <c r="D790" s="1"/>
      <c r="F790" s="2"/>
      <c r="G790" s="3"/>
    </row>
    <row r="791" ht="15.75" customHeight="1">
      <c r="D791" s="1"/>
      <c r="F791" s="2"/>
      <c r="G791" s="3"/>
    </row>
    <row r="792" ht="15.75" customHeight="1">
      <c r="D792" s="1"/>
      <c r="F792" s="2"/>
      <c r="G792" s="3"/>
    </row>
    <row r="793" ht="15.75" customHeight="1">
      <c r="D793" s="1"/>
      <c r="F793" s="2"/>
      <c r="G793" s="3"/>
    </row>
    <row r="794" ht="15.75" customHeight="1">
      <c r="D794" s="1"/>
      <c r="F794" s="2"/>
      <c r="G794" s="3"/>
    </row>
    <row r="795" ht="15.75" customHeight="1">
      <c r="D795" s="1"/>
      <c r="F795" s="2"/>
      <c r="G795" s="3"/>
    </row>
    <row r="796" ht="15.75" customHeight="1">
      <c r="D796" s="1"/>
      <c r="F796" s="2"/>
      <c r="G796" s="3"/>
    </row>
    <row r="797" ht="15.75" customHeight="1">
      <c r="D797" s="1"/>
      <c r="F797" s="2"/>
      <c r="G797" s="3"/>
    </row>
    <row r="798" ht="15.75" customHeight="1">
      <c r="D798" s="1"/>
      <c r="F798" s="2"/>
      <c r="G798" s="3"/>
    </row>
    <row r="799" ht="15.75" customHeight="1">
      <c r="D799" s="1"/>
      <c r="F799" s="2"/>
      <c r="G799" s="3"/>
    </row>
    <row r="800" ht="15.75" customHeight="1">
      <c r="D800" s="1"/>
      <c r="F800" s="2"/>
      <c r="G800" s="3"/>
    </row>
    <row r="801" ht="15.75" customHeight="1">
      <c r="D801" s="1"/>
      <c r="F801" s="2"/>
      <c r="G801" s="3"/>
    </row>
    <row r="802" ht="15.75" customHeight="1">
      <c r="D802" s="1"/>
      <c r="F802" s="2"/>
      <c r="G802" s="3"/>
    </row>
    <row r="803" ht="15.75" customHeight="1">
      <c r="D803" s="1"/>
      <c r="F803" s="2"/>
      <c r="G803" s="3"/>
    </row>
    <row r="804" ht="15.75" customHeight="1">
      <c r="D804" s="1"/>
      <c r="F804" s="2"/>
      <c r="G804" s="3"/>
    </row>
    <row r="805" ht="15.75" customHeight="1">
      <c r="D805" s="1"/>
      <c r="F805" s="2"/>
      <c r="G805" s="3"/>
    </row>
    <row r="806" ht="15.75" customHeight="1">
      <c r="D806" s="1"/>
      <c r="F806" s="2"/>
      <c r="G806" s="3"/>
    </row>
    <row r="807" ht="15.75" customHeight="1">
      <c r="D807" s="1"/>
      <c r="F807" s="2"/>
      <c r="G807" s="3"/>
    </row>
    <row r="808" ht="15.75" customHeight="1">
      <c r="D808" s="1"/>
      <c r="F808" s="2"/>
      <c r="G808" s="3"/>
    </row>
    <row r="809" ht="15.75" customHeight="1">
      <c r="D809" s="1"/>
      <c r="F809" s="2"/>
      <c r="G809" s="3"/>
    </row>
    <row r="810" ht="15.75" customHeight="1">
      <c r="D810" s="1"/>
      <c r="F810" s="2"/>
      <c r="G810" s="3"/>
    </row>
    <row r="811" ht="15.75" customHeight="1">
      <c r="D811" s="1"/>
      <c r="F811" s="2"/>
      <c r="G811" s="3"/>
    </row>
    <row r="812" ht="15.75" customHeight="1">
      <c r="D812" s="1"/>
      <c r="F812" s="2"/>
      <c r="G812" s="3"/>
    </row>
    <row r="813" ht="15.75" customHeight="1">
      <c r="D813" s="1"/>
      <c r="F813" s="2"/>
      <c r="G813" s="3"/>
    </row>
    <row r="814" ht="15.75" customHeight="1">
      <c r="D814" s="1"/>
      <c r="F814" s="2"/>
      <c r="G814" s="3"/>
    </row>
    <row r="815" ht="15.75" customHeight="1">
      <c r="D815" s="1"/>
      <c r="F815" s="2"/>
      <c r="G815" s="3"/>
    </row>
    <row r="816" ht="15.75" customHeight="1">
      <c r="D816" s="1"/>
      <c r="F816" s="2"/>
      <c r="G816" s="3"/>
    </row>
    <row r="817" ht="15.75" customHeight="1">
      <c r="D817" s="1"/>
      <c r="F817" s="2"/>
      <c r="G817" s="3"/>
    </row>
    <row r="818" ht="15.75" customHeight="1">
      <c r="D818" s="1"/>
      <c r="F818" s="2"/>
      <c r="G818" s="3"/>
    </row>
    <row r="819" ht="15.75" customHeight="1">
      <c r="D819" s="1"/>
      <c r="F819" s="2"/>
      <c r="G819" s="3"/>
    </row>
    <row r="820" ht="15.75" customHeight="1">
      <c r="D820" s="1"/>
      <c r="F820" s="2"/>
      <c r="G820" s="3"/>
    </row>
    <row r="821" ht="15.75" customHeight="1">
      <c r="D821" s="1"/>
      <c r="F821" s="2"/>
      <c r="G821" s="3"/>
    </row>
    <row r="822" ht="15.75" customHeight="1">
      <c r="D822" s="1"/>
      <c r="F822" s="2"/>
      <c r="G822" s="3"/>
    </row>
    <row r="823" ht="15.75" customHeight="1">
      <c r="D823" s="1"/>
      <c r="F823" s="2"/>
      <c r="G823" s="3"/>
    </row>
    <row r="824" ht="15.75" customHeight="1">
      <c r="D824" s="1"/>
      <c r="F824" s="2"/>
      <c r="G824" s="3"/>
    </row>
    <row r="825" ht="15.75" customHeight="1">
      <c r="D825" s="1"/>
      <c r="F825" s="2"/>
      <c r="G825" s="3"/>
    </row>
    <row r="826" ht="15.75" customHeight="1">
      <c r="D826" s="1"/>
      <c r="F826" s="2"/>
      <c r="G826" s="3"/>
    </row>
    <row r="827" ht="15.75" customHeight="1">
      <c r="D827" s="1"/>
      <c r="F827" s="2"/>
      <c r="G827" s="3"/>
    </row>
    <row r="828" ht="15.75" customHeight="1">
      <c r="D828" s="1"/>
      <c r="F828" s="2"/>
      <c r="G828" s="3"/>
    </row>
    <row r="829" ht="15.75" customHeight="1">
      <c r="D829" s="1"/>
      <c r="F829" s="2"/>
      <c r="G829" s="3"/>
    </row>
    <row r="830" ht="15.75" customHeight="1">
      <c r="D830" s="1"/>
      <c r="F830" s="2"/>
      <c r="G830" s="3"/>
    </row>
    <row r="831" ht="15.75" customHeight="1">
      <c r="D831" s="1"/>
      <c r="F831" s="2"/>
      <c r="G831" s="3"/>
    </row>
    <row r="832" ht="15.75" customHeight="1">
      <c r="D832" s="1"/>
      <c r="F832" s="2"/>
      <c r="G832" s="3"/>
    </row>
    <row r="833" ht="15.75" customHeight="1">
      <c r="D833" s="1"/>
      <c r="F833" s="2"/>
      <c r="G833" s="3"/>
    </row>
    <row r="834" ht="15.75" customHeight="1">
      <c r="D834" s="1"/>
      <c r="F834" s="2"/>
      <c r="G834" s="3"/>
    </row>
    <row r="835" ht="15.75" customHeight="1">
      <c r="D835" s="1"/>
      <c r="F835" s="2"/>
      <c r="G835" s="3"/>
    </row>
    <row r="836" ht="15.75" customHeight="1">
      <c r="D836" s="1"/>
      <c r="F836" s="2"/>
      <c r="G836" s="3"/>
    </row>
    <row r="837" ht="15.75" customHeight="1">
      <c r="D837" s="1"/>
      <c r="F837" s="2"/>
      <c r="G837" s="3"/>
    </row>
    <row r="838" ht="15.75" customHeight="1">
      <c r="D838" s="1"/>
      <c r="F838" s="2"/>
      <c r="G838" s="3"/>
    </row>
    <row r="839" ht="15.75" customHeight="1">
      <c r="D839" s="1"/>
      <c r="F839" s="2"/>
      <c r="G839" s="3"/>
    </row>
    <row r="840" ht="15.75" customHeight="1">
      <c r="D840" s="1"/>
      <c r="F840" s="2"/>
      <c r="G840" s="3"/>
    </row>
    <row r="841" ht="15.75" customHeight="1">
      <c r="D841" s="1"/>
      <c r="F841" s="2"/>
      <c r="G841" s="3"/>
    </row>
    <row r="842" ht="15.75" customHeight="1">
      <c r="D842" s="1"/>
      <c r="F842" s="2"/>
      <c r="G842" s="3"/>
    </row>
    <row r="843" ht="15.75" customHeight="1">
      <c r="D843" s="1"/>
      <c r="F843" s="2"/>
      <c r="G843" s="3"/>
    </row>
    <row r="844" ht="15.75" customHeight="1">
      <c r="D844" s="1"/>
      <c r="F844" s="2"/>
      <c r="G844" s="3"/>
    </row>
    <row r="845" ht="15.75" customHeight="1">
      <c r="D845" s="1"/>
      <c r="F845" s="2"/>
      <c r="G845" s="3"/>
    </row>
    <row r="846" ht="15.75" customHeight="1">
      <c r="D846" s="1"/>
      <c r="F846" s="2"/>
      <c r="G846" s="3"/>
    </row>
    <row r="847" ht="15.75" customHeight="1">
      <c r="D847" s="1"/>
      <c r="F847" s="2"/>
      <c r="G847" s="3"/>
    </row>
    <row r="848" ht="15.75" customHeight="1">
      <c r="D848" s="1"/>
      <c r="F848" s="2"/>
      <c r="G848" s="3"/>
    </row>
    <row r="849" ht="15.75" customHeight="1">
      <c r="D849" s="1"/>
      <c r="F849" s="2"/>
      <c r="G849" s="3"/>
    </row>
    <row r="850" ht="15.75" customHeight="1">
      <c r="D850" s="1"/>
      <c r="F850" s="2"/>
      <c r="G850" s="3"/>
    </row>
    <row r="851" ht="15.75" customHeight="1">
      <c r="D851" s="1"/>
      <c r="F851" s="2"/>
      <c r="G851" s="3"/>
    </row>
    <row r="852" ht="15.75" customHeight="1">
      <c r="D852" s="1"/>
      <c r="F852" s="2"/>
      <c r="G852" s="3"/>
    </row>
    <row r="853" ht="15.75" customHeight="1">
      <c r="D853" s="1"/>
      <c r="F853" s="2"/>
      <c r="G853" s="3"/>
    </row>
    <row r="854" ht="15.75" customHeight="1">
      <c r="D854" s="1"/>
      <c r="F854" s="2"/>
      <c r="G854" s="3"/>
    </row>
    <row r="855" ht="15.75" customHeight="1">
      <c r="D855" s="1"/>
      <c r="F855" s="2"/>
      <c r="G855" s="3"/>
    </row>
    <row r="856" ht="15.75" customHeight="1">
      <c r="D856" s="1"/>
      <c r="F856" s="2"/>
      <c r="G856" s="3"/>
    </row>
    <row r="857" ht="15.75" customHeight="1">
      <c r="D857" s="1"/>
      <c r="F857" s="2"/>
      <c r="G857" s="3"/>
    </row>
    <row r="858" ht="15.75" customHeight="1">
      <c r="D858" s="1"/>
      <c r="F858" s="2"/>
      <c r="G858" s="3"/>
    </row>
    <row r="859" ht="15.75" customHeight="1">
      <c r="D859" s="1"/>
      <c r="F859" s="2"/>
      <c r="G859" s="3"/>
    </row>
    <row r="860" ht="15.75" customHeight="1">
      <c r="D860" s="1"/>
      <c r="F860" s="2"/>
      <c r="G860" s="3"/>
    </row>
    <row r="861" ht="15.75" customHeight="1">
      <c r="D861" s="1"/>
      <c r="F861" s="2"/>
      <c r="G861" s="3"/>
    </row>
    <row r="862" ht="15.75" customHeight="1">
      <c r="D862" s="1"/>
      <c r="F862" s="2"/>
      <c r="G862" s="3"/>
    </row>
    <row r="863" ht="15.75" customHeight="1">
      <c r="D863" s="1"/>
      <c r="F863" s="2"/>
      <c r="G863" s="3"/>
    </row>
    <row r="864" ht="15.75" customHeight="1">
      <c r="D864" s="1"/>
      <c r="F864" s="2"/>
      <c r="G864" s="3"/>
    </row>
    <row r="865" ht="15.75" customHeight="1">
      <c r="D865" s="1"/>
      <c r="F865" s="2"/>
      <c r="G865" s="3"/>
    </row>
    <row r="866" ht="15.75" customHeight="1">
      <c r="D866" s="1"/>
      <c r="F866" s="2"/>
      <c r="G866" s="3"/>
    </row>
    <row r="867" ht="15.75" customHeight="1">
      <c r="D867" s="1"/>
      <c r="F867" s="2"/>
      <c r="G867" s="3"/>
    </row>
    <row r="868" ht="15.75" customHeight="1">
      <c r="D868" s="1"/>
      <c r="F868" s="2"/>
      <c r="G868" s="3"/>
    </row>
    <row r="869" ht="15.75" customHeight="1">
      <c r="D869" s="1"/>
      <c r="F869" s="2"/>
      <c r="G869" s="3"/>
    </row>
    <row r="870" ht="15.75" customHeight="1">
      <c r="D870" s="1"/>
      <c r="F870" s="2"/>
      <c r="G870" s="3"/>
    </row>
    <row r="871" ht="15.75" customHeight="1">
      <c r="D871" s="1"/>
      <c r="F871" s="2"/>
      <c r="G871" s="3"/>
    </row>
    <row r="872" ht="15.75" customHeight="1">
      <c r="D872" s="1"/>
      <c r="F872" s="2"/>
      <c r="G872" s="3"/>
    </row>
    <row r="873" ht="15.75" customHeight="1">
      <c r="D873" s="1"/>
      <c r="F873" s="2"/>
      <c r="G873" s="3"/>
    </row>
    <row r="874" ht="15.75" customHeight="1">
      <c r="D874" s="1"/>
      <c r="F874" s="2"/>
      <c r="G874" s="3"/>
    </row>
    <row r="875" ht="15.75" customHeight="1">
      <c r="D875" s="1"/>
      <c r="F875" s="2"/>
      <c r="G875" s="3"/>
    </row>
    <row r="876" ht="15.75" customHeight="1">
      <c r="D876" s="1"/>
      <c r="F876" s="2"/>
      <c r="G876" s="3"/>
    </row>
    <row r="877" ht="15.75" customHeight="1">
      <c r="D877" s="1"/>
      <c r="F877" s="2"/>
      <c r="G877" s="3"/>
    </row>
    <row r="878" ht="15.75" customHeight="1">
      <c r="D878" s="1"/>
      <c r="F878" s="2"/>
      <c r="G878" s="3"/>
    </row>
    <row r="879" ht="15.75" customHeight="1">
      <c r="D879" s="1"/>
      <c r="F879" s="2"/>
      <c r="G879" s="3"/>
    </row>
    <row r="880" ht="15.75" customHeight="1">
      <c r="D880" s="1"/>
      <c r="F880" s="2"/>
      <c r="G880" s="3"/>
    </row>
    <row r="881" ht="15.75" customHeight="1">
      <c r="D881" s="1"/>
      <c r="F881" s="2"/>
      <c r="G881" s="3"/>
    </row>
    <row r="882" ht="15.75" customHeight="1">
      <c r="D882" s="1"/>
      <c r="F882" s="2"/>
      <c r="G882" s="3"/>
    </row>
    <row r="883" ht="15.75" customHeight="1">
      <c r="D883" s="1"/>
      <c r="F883" s="2"/>
      <c r="G883" s="3"/>
    </row>
    <row r="884" ht="15.75" customHeight="1">
      <c r="D884" s="1"/>
      <c r="F884" s="2"/>
      <c r="G884" s="3"/>
    </row>
    <row r="885" ht="15.75" customHeight="1">
      <c r="D885" s="1"/>
      <c r="F885" s="2"/>
      <c r="G885" s="3"/>
    </row>
    <row r="886" ht="15.75" customHeight="1">
      <c r="D886" s="1"/>
      <c r="F886" s="2"/>
      <c r="G886" s="3"/>
    </row>
    <row r="887" ht="15.75" customHeight="1">
      <c r="D887" s="1"/>
      <c r="F887" s="2"/>
      <c r="G887" s="3"/>
    </row>
    <row r="888" ht="15.75" customHeight="1">
      <c r="D888" s="1"/>
      <c r="F888" s="2"/>
      <c r="G888" s="3"/>
    </row>
    <row r="889" ht="15.75" customHeight="1">
      <c r="D889" s="1"/>
      <c r="F889" s="2"/>
      <c r="G889" s="3"/>
    </row>
    <row r="890" ht="15.75" customHeight="1">
      <c r="D890" s="1"/>
      <c r="F890" s="2"/>
      <c r="G890" s="3"/>
    </row>
    <row r="891" ht="15.75" customHeight="1">
      <c r="D891" s="1"/>
      <c r="F891" s="2"/>
      <c r="G891" s="3"/>
    </row>
    <row r="892" ht="15.75" customHeight="1">
      <c r="D892" s="1"/>
      <c r="F892" s="2"/>
      <c r="G892" s="3"/>
    </row>
    <row r="893" ht="15.75" customHeight="1">
      <c r="D893" s="1"/>
      <c r="F893" s="2"/>
      <c r="G893" s="3"/>
    </row>
    <row r="894" ht="15.75" customHeight="1">
      <c r="D894" s="1"/>
      <c r="F894" s="2"/>
      <c r="G894" s="3"/>
    </row>
    <row r="895" ht="15.75" customHeight="1">
      <c r="D895" s="1"/>
      <c r="F895" s="2"/>
      <c r="G895" s="3"/>
    </row>
    <row r="896" ht="15.75" customHeight="1">
      <c r="D896" s="1"/>
      <c r="F896" s="2"/>
      <c r="G896" s="3"/>
    </row>
    <row r="897" ht="15.75" customHeight="1">
      <c r="D897" s="1"/>
      <c r="F897" s="2"/>
      <c r="G897" s="3"/>
    </row>
    <row r="898" ht="15.75" customHeight="1">
      <c r="D898" s="1"/>
      <c r="F898" s="2"/>
      <c r="G898" s="3"/>
    </row>
    <row r="899" ht="15.75" customHeight="1">
      <c r="D899" s="1"/>
      <c r="F899" s="2"/>
      <c r="G899" s="3"/>
    </row>
    <row r="900" ht="15.75" customHeight="1">
      <c r="D900" s="1"/>
      <c r="F900" s="2"/>
      <c r="G900" s="3"/>
    </row>
    <row r="901" ht="15.75" customHeight="1">
      <c r="D901" s="1"/>
      <c r="F901" s="2"/>
      <c r="G901" s="3"/>
    </row>
    <row r="902" ht="15.75" customHeight="1">
      <c r="D902" s="1"/>
      <c r="F902" s="2"/>
      <c r="G902" s="3"/>
    </row>
    <row r="903" ht="15.75" customHeight="1">
      <c r="D903" s="1"/>
      <c r="F903" s="2"/>
      <c r="G903" s="3"/>
    </row>
    <row r="904" ht="15.75" customHeight="1">
      <c r="D904" s="1"/>
      <c r="F904" s="2"/>
      <c r="G904" s="3"/>
    </row>
    <row r="905" ht="15.75" customHeight="1">
      <c r="D905" s="1"/>
      <c r="F905" s="2"/>
      <c r="G905" s="3"/>
    </row>
    <row r="906" ht="15.75" customHeight="1">
      <c r="D906" s="1"/>
      <c r="F906" s="2"/>
      <c r="G906" s="3"/>
    </row>
    <row r="907" ht="15.75" customHeight="1">
      <c r="D907" s="1"/>
      <c r="F907" s="2"/>
      <c r="G907" s="3"/>
    </row>
    <row r="908" ht="15.75" customHeight="1">
      <c r="D908" s="1"/>
      <c r="F908" s="2"/>
      <c r="G908" s="3"/>
    </row>
    <row r="909" ht="15.75" customHeight="1">
      <c r="D909" s="1"/>
      <c r="F909" s="2"/>
      <c r="G909" s="3"/>
    </row>
    <row r="910" ht="15.75" customHeight="1">
      <c r="D910" s="1"/>
      <c r="F910" s="2"/>
      <c r="G910" s="3"/>
    </row>
    <row r="911" ht="15.75" customHeight="1">
      <c r="D911" s="1"/>
      <c r="F911" s="2"/>
      <c r="G911" s="3"/>
    </row>
    <row r="912" ht="15.75" customHeight="1">
      <c r="D912" s="1"/>
      <c r="F912" s="2"/>
      <c r="G912" s="3"/>
    </row>
    <row r="913" ht="15.75" customHeight="1">
      <c r="D913" s="1"/>
      <c r="F913" s="2"/>
      <c r="G913" s="3"/>
    </row>
    <row r="914" ht="15.75" customHeight="1">
      <c r="D914" s="1"/>
      <c r="F914" s="2"/>
      <c r="G914" s="3"/>
    </row>
    <row r="915" ht="15.75" customHeight="1">
      <c r="D915" s="1"/>
      <c r="F915" s="2"/>
      <c r="G915" s="3"/>
    </row>
    <row r="916" ht="15.75" customHeight="1">
      <c r="D916" s="1"/>
      <c r="F916" s="2"/>
      <c r="G916" s="3"/>
    </row>
    <row r="917" ht="15.75" customHeight="1">
      <c r="D917" s="1"/>
      <c r="F917" s="2"/>
      <c r="G917" s="3"/>
    </row>
    <row r="918" ht="15.75" customHeight="1">
      <c r="D918" s="1"/>
      <c r="F918" s="2"/>
      <c r="G918" s="3"/>
    </row>
    <row r="919" ht="15.75" customHeight="1">
      <c r="D919" s="1"/>
      <c r="F919" s="2"/>
      <c r="G919" s="3"/>
    </row>
    <row r="920" ht="15.75" customHeight="1">
      <c r="D920" s="1"/>
      <c r="F920" s="2"/>
      <c r="G920" s="3"/>
    </row>
    <row r="921" ht="15.75" customHeight="1">
      <c r="D921" s="1"/>
      <c r="F921" s="2"/>
      <c r="G921" s="3"/>
    </row>
    <row r="922" ht="15.75" customHeight="1">
      <c r="D922" s="1"/>
      <c r="F922" s="2"/>
      <c r="G922" s="3"/>
    </row>
    <row r="923" ht="15.75" customHeight="1">
      <c r="D923" s="1"/>
      <c r="F923" s="2"/>
      <c r="G923" s="3"/>
    </row>
    <row r="924" ht="15.75" customHeight="1">
      <c r="D924" s="1"/>
      <c r="F924" s="2"/>
      <c r="G924" s="3"/>
    </row>
    <row r="925" ht="15.75" customHeight="1">
      <c r="D925" s="1"/>
      <c r="F925" s="2"/>
      <c r="G925" s="3"/>
    </row>
    <row r="926" ht="15.75" customHeight="1">
      <c r="D926" s="1"/>
      <c r="F926" s="2"/>
      <c r="G926" s="3"/>
    </row>
    <row r="927" ht="15.75" customHeight="1">
      <c r="D927" s="1"/>
      <c r="F927" s="2"/>
      <c r="G927" s="3"/>
    </row>
    <row r="928" ht="15.75" customHeight="1">
      <c r="D928" s="1"/>
      <c r="F928" s="2"/>
      <c r="G928" s="3"/>
    </row>
    <row r="929" ht="15.75" customHeight="1">
      <c r="D929" s="1"/>
      <c r="F929" s="2"/>
      <c r="G929" s="3"/>
    </row>
    <row r="930" ht="15.75" customHeight="1">
      <c r="D930" s="1"/>
      <c r="F930" s="2"/>
      <c r="G930" s="3"/>
    </row>
    <row r="931" ht="15.75" customHeight="1">
      <c r="D931" s="1"/>
      <c r="F931" s="2"/>
      <c r="G931" s="3"/>
    </row>
    <row r="932" ht="15.75" customHeight="1">
      <c r="D932" s="1"/>
      <c r="F932" s="2"/>
      <c r="G932" s="3"/>
    </row>
    <row r="933" ht="15.75" customHeight="1">
      <c r="D933" s="1"/>
      <c r="F933" s="2"/>
      <c r="G933" s="3"/>
    </row>
    <row r="934" ht="15.75" customHeight="1">
      <c r="D934" s="1"/>
      <c r="F934" s="2"/>
      <c r="G934" s="3"/>
    </row>
    <row r="935" ht="15.75" customHeight="1">
      <c r="D935" s="1"/>
      <c r="F935" s="2"/>
      <c r="G935" s="3"/>
    </row>
    <row r="936" ht="15.75" customHeight="1">
      <c r="D936" s="1"/>
      <c r="F936" s="2"/>
      <c r="G936" s="3"/>
    </row>
    <row r="937" ht="15.75" customHeight="1">
      <c r="D937" s="1"/>
      <c r="F937" s="2"/>
      <c r="G937" s="3"/>
    </row>
    <row r="938" ht="15.75" customHeight="1">
      <c r="D938" s="1"/>
      <c r="F938" s="2"/>
      <c r="G938" s="3"/>
    </row>
    <row r="939" ht="15.75" customHeight="1">
      <c r="D939" s="1"/>
      <c r="F939" s="2"/>
      <c r="G939" s="3"/>
    </row>
    <row r="940" ht="15.75" customHeight="1">
      <c r="D940" s="1"/>
      <c r="F940" s="2"/>
      <c r="G940" s="3"/>
    </row>
    <row r="941" ht="15.75" customHeight="1">
      <c r="D941" s="1"/>
      <c r="F941" s="2"/>
      <c r="G941" s="3"/>
    </row>
    <row r="942" ht="15.75" customHeight="1">
      <c r="D942" s="1"/>
      <c r="F942" s="2"/>
      <c r="G942" s="3"/>
    </row>
    <row r="943" ht="15.75" customHeight="1">
      <c r="D943" s="1"/>
      <c r="F943" s="2"/>
      <c r="G943" s="3"/>
    </row>
    <row r="944" ht="15.75" customHeight="1">
      <c r="D944" s="1"/>
      <c r="F944" s="2"/>
      <c r="G944" s="3"/>
    </row>
    <row r="945" ht="15.75" customHeight="1">
      <c r="D945" s="1"/>
      <c r="F945" s="2"/>
      <c r="G945" s="3"/>
    </row>
    <row r="946" ht="15.75" customHeight="1">
      <c r="D946" s="1"/>
      <c r="F946" s="2"/>
      <c r="G946" s="3"/>
    </row>
    <row r="947" ht="15.75" customHeight="1">
      <c r="D947" s="1"/>
      <c r="F947" s="2"/>
      <c r="G947" s="3"/>
    </row>
    <row r="948" ht="15.75" customHeight="1">
      <c r="D948" s="1"/>
      <c r="F948" s="2"/>
      <c r="G948" s="3"/>
    </row>
    <row r="949" ht="15.75" customHeight="1">
      <c r="D949" s="1"/>
      <c r="F949" s="2"/>
      <c r="G949" s="3"/>
    </row>
    <row r="950" ht="15.75" customHeight="1">
      <c r="D950" s="1"/>
      <c r="F950" s="2"/>
      <c r="G950" s="3"/>
    </row>
    <row r="951" ht="15.75" customHeight="1">
      <c r="D951" s="1"/>
      <c r="F951" s="2"/>
      <c r="G951" s="3"/>
    </row>
    <row r="952" ht="15.75" customHeight="1">
      <c r="D952" s="1"/>
      <c r="F952" s="2"/>
      <c r="G952" s="3"/>
    </row>
    <row r="953" ht="15.75" customHeight="1">
      <c r="D953" s="1"/>
      <c r="F953" s="2"/>
      <c r="G953" s="3"/>
    </row>
    <row r="954" ht="15.75" customHeight="1">
      <c r="D954" s="1"/>
      <c r="F954" s="2"/>
      <c r="G954" s="3"/>
    </row>
    <row r="955" ht="15.75" customHeight="1">
      <c r="D955" s="1"/>
      <c r="F955" s="2"/>
      <c r="G955" s="3"/>
    </row>
    <row r="956" ht="15.75" customHeight="1">
      <c r="D956" s="1"/>
      <c r="F956" s="2"/>
      <c r="G956" s="3"/>
    </row>
    <row r="957" ht="15.75" customHeight="1">
      <c r="D957" s="1"/>
      <c r="F957" s="2"/>
      <c r="G957" s="3"/>
    </row>
    <row r="958" ht="15.75" customHeight="1">
      <c r="D958" s="1"/>
      <c r="F958" s="2"/>
      <c r="G958" s="3"/>
    </row>
    <row r="959" ht="15.75" customHeight="1">
      <c r="D959" s="1"/>
      <c r="F959" s="2"/>
      <c r="G959" s="3"/>
    </row>
    <row r="960" ht="15.75" customHeight="1">
      <c r="D960" s="1"/>
      <c r="F960" s="2"/>
      <c r="G960" s="3"/>
    </row>
    <row r="961" ht="15.75" customHeight="1">
      <c r="D961" s="1"/>
      <c r="F961" s="2"/>
      <c r="G961" s="3"/>
    </row>
    <row r="962" ht="15.75" customHeight="1">
      <c r="D962" s="1"/>
      <c r="F962" s="2"/>
      <c r="G962" s="3"/>
    </row>
    <row r="963" ht="15.75" customHeight="1">
      <c r="D963" s="1"/>
      <c r="F963" s="2"/>
      <c r="G963" s="3"/>
    </row>
    <row r="964" ht="15.75" customHeight="1">
      <c r="D964" s="1"/>
      <c r="F964" s="2"/>
      <c r="G964" s="3"/>
    </row>
    <row r="965" ht="15.75" customHeight="1">
      <c r="D965" s="1"/>
      <c r="F965" s="2"/>
      <c r="G965" s="3"/>
    </row>
    <row r="966" ht="15.75" customHeight="1">
      <c r="D966" s="1"/>
      <c r="F966" s="2"/>
      <c r="G966" s="3"/>
    </row>
    <row r="967" ht="15.75" customHeight="1">
      <c r="D967" s="1"/>
      <c r="F967" s="2"/>
      <c r="G967" s="3"/>
    </row>
    <row r="968" ht="15.75" customHeight="1">
      <c r="D968" s="1"/>
      <c r="F968" s="2"/>
      <c r="G968" s="3"/>
    </row>
    <row r="969" ht="15.75" customHeight="1">
      <c r="D969" s="1"/>
      <c r="F969" s="2"/>
      <c r="G969" s="3"/>
    </row>
    <row r="970" ht="15.75" customHeight="1">
      <c r="D970" s="1"/>
      <c r="F970" s="2"/>
      <c r="G970" s="3"/>
    </row>
    <row r="971" ht="15.75" customHeight="1">
      <c r="D971" s="1"/>
      <c r="F971" s="2"/>
      <c r="G971" s="3"/>
    </row>
    <row r="972" ht="15.75" customHeight="1">
      <c r="D972" s="1"/>
      <c r="F972" s="2"/>
      <c r="G972" s="3"/>
    </row>
    <row r="973" ht="15.75" customHeight="1">
      <c r="D973" s="1"/>
      <c r="F973" s="2"/>
      <c r="G973" s="3"/>
    </row>
    <row r="974" ht="15.75" customHeight="1">
      <c r="D974" s="1"/>
      <c r="F974" s="2"/>
      <c r="G974" s="3"/>
    </row>
    <row r="975" ht="15.75" customHeight="1">
      <c r="D975" s="1"/>
      <c r="F975" s="2"/>
      <c r="G975" s="3"/>
    </row>
    <row r="976" ht="15.75" customHeight="1">
      <c r="D976" s="1"/>
      <c r="F976" s="2"/>
      <c r="G976" s="3"/>
    </row>
    <row r="977" ht="15.75" customHeight="1">
      <c r="D977" s="1"/>
      <c r="F977" s="2"/>
      <c r="G977" s="3"/>
    </row>
    <row r="978" ht="15.75" customHeight="1">
      <c r="D978" s="1"/>
      <c r="F978" s="2"/>
      <c r="G978" s="3"/>
    </row>
    <row r="979" ht="15.75" customHeight="1">
      <c r="D979" s="1"/>
      <c r="F979" s="2"/>
      <c r="G979" s="3"/>
    </row>
    <row r="980" ht="15.75" customHeight="1">
      <c r="D980" s="1"/>
      <c r="F980" s="2"/>
      <c r="G980" s="3"/>
    </row>
    <row r="981" ht="15.75" customHeight="1">
      <c r="D981" s="1"/>
      <c r="F981" s="2"/>
      <c r="G981" s="3"/>
    </row>
    <row r="982" ht="15.75" customHeight="1">
      <c r="D982" s="1"/>
      <c r="F982" s="2"/>
      <c r="G982" s="3"/>
    </row>
    <row r="983" ht="15.75" customHeight="1">
      <c r="D983" s="1"/>
      <c r="F983" s="2"/>
      <c r="G983" s="3"/>
    </row>
    <row r="984" ht="15.75" customHeight="1">
      <c r="D984" s="1"/>
      <c r="F984" s="2"/>
      <c r="G984" s="3"/>
    </row>
    <row r="985" ht="15.75" customHeight="1">
      <c r="D985" s="1"/>
      <c r="F985" s="2"/>
      <c r="G985" s="3"/>
    </row>
    <row r="986" ht="15.75" customHeight="1">
      <c r="D986" s="1"/>
      <c r="F986" s="2"/>
      <c r="G986" s="3"/>
    </row>
    <row r="987" ht="15.75" customHeight="1">
      <c r="D987" s="1"/>
      <c r="F987" s="2"/>
      <c r="G987" s="3"/>
    </row>
    <row r="988" ht="15.75" customHeight="1">
      <c r="D988" s="1"/>
      <c r="F988" s="2"/>
      <c r="G988" s="3"/>
    </row>
    <row r="989" ht="15.75" customHeight="1">
      <c r="D989" s="1"/>
      <c r="F989" s="2"/>
      <c r="G989" s="3"/>
    </row>
    <row r="990" ht="15.75" customHeight="1">
      <c r="D990" s="1"/>
      <c r="F990" s="2"/>
      <c r="G990" s="3"/>
    </row>
    <row r="991" ht="15.75" customHeight="1">
      <c r="D991" s="1"/>
      <c r="F991" s="2"/>
      <c r="G991" s="3"/>
    </row>
    <row r="992" ht="15.75" customHeight="1">
      <c r="D992" s="1"/>
      <c r="F992" s="2"/>
      <c r="G992" s="3"/>
    </row>
    <row r="993" ht="15.75" customHeight="1">
      <c r="D993" s="1"/>
      <c r="F993" s="2"/>
      <c r="G993" s="3"/>
    </row>
    <row r="994" ht="15.75" customHeight="1">
      <c r="D994" s="1"/>
      <c r="F994" s="2"/>
      <c r="G994" s="3"/>
    </row>
    <row r="995" ht="15.75" customHeight="1">
      <c r="D995" s="1"/>
      <c r="F995" s="2"/>
      <c r="G995" s="3"/>
    </row>
    <row r="996" ht="15.75" customHeight="1">
      <c r="D996" s="1"/>
      <c r="F996" s="2"/>
      <c r="G996" s="3"/>
    </row>
    <row r="997" ht="15.75" customHeight="1">
      <c r="D997" s="1"/>
      <c r="F997" s="2"/>
      <c r="G997" s="3"/>
    </row>
    <row r="998" ht="15.75" customHeight="1">
      <c r="D998" s="1"/>
      <c r="F998" s="2"/>
      <c r="G998" s="3"/>
    </row>
    <row r="999" ht="15.75" customHeight="1">
      <c r="D999" s="1"/>
      <c r="F999" s="2"/>
      <c r="G999" s="3"/>
    </row>
    <row r="1000" ht="15.75" customHeight="1">
      <c r="D1000" s="1"/>
      <c r="F1000" s="2"/>
      <c r="G1000" s="3"/>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4.86"/>
    <col customWidth="1" min="5" max="5" width="36.29"/>
    <col customWidth="1" min="6" max="6" width="13.0"/>
    <col customWidth="1" min="7" max="7" width="15.29"/>
    <col customWidth="1" min="8" max="8" width="18.0"/>
    <col customWidth="1" min="9" max="9" width="20.57"/>
    <col customWidth="1" min="10" max="10" width="16.71"/>
    <col customWidth="1" min="11" max="26" width="8.71"/>
  </cols>
  <sheetData>
    <row r="1">
      <c r="A1" s="21" t="s">
        <v>20</v>
      </c>
    </row>
    <row r="7">
      <c r="A7" s="22"/>
      <c r="B7" s="22" t="s">
        <v>21</v>
      </c>
      <c r="C7" s="22" t="s">
        <v>22</v>
      </c>
      <c r="D7" s="22" t="s">
        <v>23</v>
      </c>
      <c r="E7" s="22" t="s">
        <v>24</v>
      </c>
      <c r="F7" s="22" t="s">
        <v>25</v>
      </c>
      <c r="G7" s="22" t="s">
        <v>6</v>
      </c>
      <c r="H7" s="22" t="s">
        <v>26</v>
      </c>
      <c r="I7" s="22" t="s">
        <v>27</v>
      </c>
      <c r="J7" s="22" t="s">
        <v>28</v>
      </c>
      <c r="K7" s="22"/>
      <c r="L7" s="22"/>
      <c r="M7" s="22"/>
      <c r="N7" s="22"/>
      <c r="O7" s="22"/>
      <c r="P7" s="22"/>
      <c r="Q7" s="22"/>
      <c r="R7" s="22"/>
      <c r="S7" s="22"/>
      <c r="T7" s="22"/>
      <c r="U7" s="22"/>
      <c r="V7" s="22"/>
      <c r="W7" s="22"/>
      <c r="X7" s="22"/>
      <c r="Y7" s="22"/>
      <c r="Z7" s="22"/>
    </row>
    <row r="8">
      <c r="A8" s="22"/>
      <c r="B8" s="22" t="s">
        <v>7</v>
      </c>
      <c r="C8" s="22" t="s">
        <v>8</v>
      </c>
      <c r="D8" s="22" t="s">
        <v>3</v>
      </c>
      <c r="E8" s="22" t="s">
        <v>29</v>
      </c>
      <c r="F8" s="22" t="s">
        <v>10</v>
      </c>
      <c r="G8" s="22" t="s">
        <v>11</v>
      </c>
      <c r="H8" s="22" t="s">
        <v>12</v>
      </c>
      <c r="I8" s="22" t="s">
        <v>13</v>
      </c>
      <c r="J8" s="22" t="s">
        <v>14</v>
      </c>
      <c r="K8" s="22" t="s">
        <v>15</v>
      </c>
      <c r="L8" s="22"/>
      <c r="M8" s="22"/>
      <c r="N8" s="22"/>
      <c r="O8" s="22"/>
      <c r="P8" s="22"/>
      <c r="Q8" s="22"/>
      <c r="R8" s="22"/>
      <c r="S8" s="22"/>
      <c r="T8" s="22"/>
      <c r="U8" s="22"/>
      <c r="V8" s="22"/>
      <c r="W8" s="22"/>
      <c r="X8" s="22"/>
      <c r="Y8" s="22"/>
      <c r="Z8" s="22"/>
    </row>
    <row r="9">
      <c r="B9" s="21">
        <v>0.0</v>
      </c>
      <c r="C9" s="21">
        <v>0.0</v>
      </c>
      <c r="D9" s="21">
        <v>25.0</v>
      </c>
      <c r="E9" s="21">
        <f t="shared" ref="E9:E14" si="1">B9*D9</f>
        <v>0</v>
      </c>
      <c r="F9" s="21">
        <f t="shared" ref="F9:F14" si="2">D9+E9</f>
        <v>25</v>
      </c>
      <c r="G9" s="21" t="str">
        <f t="shared" ref="G9:G14" si="3">(F9-F8)/(C9-C8)</f>
        <v>#VALUE!</v>
      </c>
      <c r="H9" s="21" t="str">
        <f t="shared" ref="H9:H14" si="4">D9/C9</f>
        <v>#DIV/0!</v>
      </c>
      <c r="I9" s="21" t="str">
        <f t="shared" ref="I9:I14" si="5">E9/C9</f>
        <v>#DIV/0!</v>
      </c>
      <c r="J9" s="21" t="str">
        <f t="shared" ref="J9:J14" si="6">H9+I9</f>
        <v>#DIV/0!</v>
      </c>
      <c r="K9" s="21" t="str">
        <f t="shared" ref="K9:K14" si="7">F9/C9</f>
        <v>#DIV/0!</v>
      </c>
    </row>
    <row r="10">
      <c r="B10" s="21">
        <v>1.0</v>
      </c>
      <c r="C10" s="21">
        <v>4.0</v>
      </c>
      <c r="D10" s="21">
        <v>25.0</v>
      </c>
      <c r="E10" s="21">
        <f t="shared" si="1"/>
        <v>25</v>
      </c>
      <c r="F10" s="21">
        <f t="shared" si="2"/>
        <v>50</v>
      </c>
      <c r="G10" s="21">
        <f t="shared" si="3"/>
        <v>6.25</v>
      </c>
      <c r="H10" s="21">
        <f t="shared" si="4"/>
        <v>6.25</v>
      </c>
      <c r="I10" s="21">
        <f t="shared" si="5"/>
        <v>6.25</v>
      </c>
      <c r="J10" s="21">
        <f t="shared" si="6"/>
        <v>12.5</v>
      </c>
      <c r="K10" s="21">
        <f t="shared" si="7"/>
        <v>12.5</v>
      </c>
    </row>
    <row r="11">
      <c r="B11" s="21">
        <v>2.0</v>
      </c>
      <c r="C11" s="21">
        <v>10.0</v>
      </c>
      <c r="D11" s="21">
        <v>25.0</v>
      </c>
      <c r="E11" s="21">
        <f t="shared" si="1"/>
        <v>50</v>
      </c>
      <c r="F11" s="21">
        <f t="shared" si="2"/>
        <v>75</v>
      </c>
      <c r="G11" s="21">
        <f t="shared" si="3"/>
        <v>4.166666667</v>
      </c>
      <c r="H11" s="21">
        <f t="shared" si="4"/>
        <v>2.5</v>
      </c>
      <c r="I11" s="21">
        <f t="shared" si="5"/>
        <v>5</v>
      </c>
      <c r="J11" s="21">
        <f t="shared" si="6"/>
        <v>7.5</v>
      </c>
      <c r="K11" s="21">
        <f t="shared" si="7"/>
        <v>7.5</v>
      </c>
    </row>
    <row r="12">
      <c r="B12" s="21">
        <v>3.0</v>
      </c>
      <c r="C12" s="21">
        <v>13.0</v>
      </c>
      <c r="D12" s="21">
        <v>25.0</v>
      </c>
      <c r="E12" s="21">
        <f t="shared" si="1"/>
        <v>75</v>
      </c>
      <c r="F12" s="21">
        <f t="shared" si="2"/>
        <v>100</v>
      </c>
      <c r="G12" s="21">
        <f t="shared" si="3"/>
        <v>8.333333333</v>
      </c>
      <c r="H12" s="21">
        <f t="shared" si="4"/>
        <v>1.923076923</v>
      </c>
      <c r="I12" s="21">
        <f t="shared" si="5"/>
        <v>5.769230769</v>
      </c>
      <c r="J12" s="21">
        <f t="shared" si="6"/>
        <v>7.692307692</v>
      </c>
      <c r="K12" s="21">
        <f t="shared" si="7"/>
        <v>7.692307692</v>
      </c>
    </row>
    <row r="13">
      <c r="B13" s="21">
        <v>4.0</v>
      </c>
      <c r="C13" s="21">
        <v>15.0</v>
      </c>
      <c r="D13" s="21">
        <v>25.0</v>
      </c>
      <c r="E13" s="21">
        <f t="shared" si="1"/>
        <v>100</v>
      </c>
      <c r="F13" s="21">
        <f t="shared" si="2"/>
        <v>125</v>
      </c>
      <c r="G13" s="21">
        <f t="shared" si="3"/>
        <v>12.5</v>
      </c>
      <c r="H13" s="21">
        <f t="shared" si="4"/>
        <v>1.666666667</v>
      </c>
      <c r="I13" s="21">
        <f t="shared" si="5"/>
        <v>6.666666667</v>
      </c>
      <c r="J13" s="21">
        <f t="shared" si="6"/>
        <v>8.333333333</v>
      </c>
      <c r="K13" s="21">
        <f t="shared" si="7"/>
        <v>8.333333333</v>
      </c>
    </row>
    <row r="14">
      <c r="B14" s="21">
        <v>5.0</v>
      </c>
      <c r="C14" s="21">
        <v>16.0</v>
      </c>
      <c r="D14" s="21">
        <v>25.0</v>
      </c>
      <c r="E14" s="21">
        <f t="shared" si="1"/>
        <v>125</v>
      </c>
      <c r="F14" s="21">
        <f t="shared" si="2"/>
        <v>150</v>
      </c>
      <c r="G14" s="21">
        <f t="shared" si="3"/>
        <v>25</v>
      </c>
      <c r="H14" s="21">
        <f t="shared" si="4"/>
        <v>1.5625</v>
      </c>
      <c r="I14" s="21">
        <f t="shared" si="5"/>
        <v>7.8125</v>
      </c>
      <c r="J14" s="21">
        <f t="shared" si="6"/>
        <v>9.375</v>
      </c>
      <c r="K14" s="21">
        <f t="shared" si="7"/>
        <v>9.375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9.14"/>
    <col customWidth="1" min="4" max="4" width="23.0"/>
    <col customWidth="1" min="5" max="5" width="17.86"/>
    <col customWidth="1" min="6" max="6" width="11.57"/>
    <col customWidth="1" min="7" max="7" width="14.57"/>
    <col customWidth="1" min="8" max="8" width="19.14"/>
    <col customWidth="1" min="9" max="9" width="15.86"/>
    <col customWidth="1" min="10" max="10" width="14.86"/>
    <col customWidth="1" min="11" max="11" width="15.43"/>
    <col customWidth="1" min="12" max="26" width="8.71"/>
  </cols>
  <sheetData>
    <row r="1">
      <c r="C1" s="23"/>
      <c r="F1" s="23"/>
      <c r="G1" s="23"/>
      <c r="K1" s="23"/>
    </row>
    <row r="2">
      <c r="C2" s="23"/>
      <c r="F2" s="23"/>
      <c r="G2" s="23"/>
      <c r="K2" s="23"/>
    </row>
    <row r="3">
      <c r="C3" s="23"/>
      <c r="F3" s="23"/>
      <c r="G3" s="23"/>
      <c r="K3" s="23"/>
    </row>
    <row r="4">
      <c r="C4" s="23"/>
      <c r="D4" s="21" t="s">
        <v>30</v>
      </c>
      <c r="F4" s="23" t="s">
        <v>31</v>
      </c>
      <c r="G4" s="23"/>
      <c r="K4" s="23"/>
    </row>
    <row r="5">
      <c r="C5" s="23"/>
      <c r="F5" s="23"/>
      <c r="G5" s="23"/>
      <c r="K5" s="23"/>
    </row>
    <row r="6">
      <c r="C6" s="23"/>
      <c r="F6" s="23"/>
      <c r="G6" s="23"/>
      <c r="K6" s="23"/>
    </row>
    <row r="7">
      <c r="B7" s="22"/>
      <c r="C7" s="24" t="s">
        <v>32</v>
      </c>
      <c r="D7" s="22" t="s">
        <v>23</v>
      </c>
      <c r="E7" s="22" t="s">
        <v>24</v>
      </c>
      <c r="F7" s="24" t="s">
        <v>25</v>
      </c>
      <c r="G7" s="25" t="s">
        <v>6</v>
      </c>
      <c r="H7" s="22" t="s">
        <v>26</v>
      </c>
      <c r="I7" s="22" t="s">
        <v>27</v>
      </c>
      <c r="J7" s="22" t="s">
        <v>28</v>
      </c>
      <c r="K7" s="25"/>
    </row>
    <row r="8">
      <c r="B8" s="22"/>
      <c r="C8" s="24" t="s">
        <v>8</v>
      </c>
      <c r="D8" s="22" t="s">
        <v>33</v>
      </c>
      <c r="E8" s="22" t="s">
        <v>34</v>
      </c>
      <c r="F8" s="24" t="s">
        <v>5</v>
      </c>
      <c r="G8" s="25" t="s">
        <v>11</v>
      </c>
      <c r="H8" s="22" t="s">
        <v>12</v>
      </c>
      <c r="I8" s="22" t="s">
        <v>13</v>
      </c>
      <c r="J8" s="22" t="s">
        <v>14</v>
      </c>
      <c r="K8" s="25" t="s">
        <v>15</v>
      </c>
    </row>
    <row r="9">
      <c r="C9" s="23">
        <v>0.0</v>
      </c>
      <c r="D9" s="26">
        <v>500000.0</v>
      </c>
      <c r="E9" s="26">
        <f t="shared" ref="E9:E19" si="1">(F9-D9)</f>
        <v>0</v>
      </c>
      <c r="F9" s="23">
        <v>500000.0</v>
      </c>
      <c r="G9" s="23" t="str">
        <f t="shared" ref="G9:G19" si="2">(F9-F8)/(C9-C8)</f>
        <v>#VALUE!</v>
      </c>
      <c r="H9" s="21" t="str">
        <f t="shared" ref="H9:H19" si="3">D9/C9</f>
        <v>#DIV/0!</v>
      </c>
      <c r="I9" s="21" t="str">
        <f t="shared" ref="I9:I19" si="4">E9/C9</f>
        <v>#DIV/0!</v>
      </c>
      <c r="J9" s="21" t="str">
        <f t="shared" ref="J9:J19" si="5">H9+I9</f>
        <v>#DIV/0!</v>
      </c>
      <c r="K9" s="23" t="str">
        <f t="shared" ref="K9:K19" si="6">F9/C9</f>
        <v>#DIV/0!</v>
      </c>
    </row>
    <row r="10">
      <c r="C10" s="23">
        <v>1.0</v>
      </c>
      <c r="D10" s="21">
        <v>500000.0</v>
      </c>
      <c r="E10" s="26">
        <f t="shared" si="1"/>
        <v>40000</v>
      </c>
      <c r="F10" s="23">
        <v>540000.0</v>
      </c>
      <c r="G10" s="23">
        <f t="shared" si="2"/>
        <v>40000</v>
      </c>
      <c r="H10" s="21">
        <f t="shared" si="3"/>
        <v>500000</v>
      </c>
      <c r="I10" s="21">
        <f t="shared" si="4"/>
        <v>40000</v>
      </c>
      <c r="J10" s="21">
        <f t="shared" si="5"/>
        <v>540000</v>
      </c>
      <c r="K10" s="23">
        <f t="shared" si="6"/>
        <v>540000</v>
      </c>
    </row>
    <row r="11">
      <c r="C11" s="23">
        <v>2.0</v>
      </c>
      <c r="D11" s="21">
        <v>500000.0</v>
      </c>
      <c r="E11" s="26">
        <f t="shared" si="1"/>
        <v>60000</v>
      </c>
      <c r="F11" s="23">
        <v>560000.0</v>
      </c>
      <c r="G11" s="23">
        <f t="shared" si="2"/>
        <v>20000</v>
      </c>
      <c r="H11" s="21">
        <f t="shared" si="3"/>
        <v>250000</v>
      </c>
      <c r="I11" s="21">
        <f t="shared" si="4"/>
        <v>30000</v>
      </c>
      <c r="J11" s="21">
        <f t="shared" si="5"/>
        <v>280000</v>
      </c>
      <c r="K11" s="23">
        <f t="shared" si="6"/>
        <v>280000</v>
      </c>
    </row>
    <row r="12">
      <c r="C12" s="23">
        <v>3.0</v>
      </c>
      <c r="D12" s="21">
        <v>500000.0</v>
      </c>
      <c r="E12" s="26">
        <f t="shared" si="1"/>
        <v>70000</v>
      </c>
      <c r="F12" s="23">
        <v>570000.0</v>
      </c>
      <c r="G12" s="23">
        <f t="shared" si="2"/>
        <v>10000</v>
      </c>
      <c r="H12" s="21">
        <f t="shared" si="3"/>
        <v>166666.6667</v>
      </c>
      <c r="I12" s="21">
        <f t="shared" si="4"/>
        <v>23333.33333</v>
      </c>
      <c r="J12" s="21">
        <f t="shared" si="5"/>
        <v>190000</v>
      </c>
      <c r="K12" s="23">
        <f t="shared" si="6"/>
        <v>190000</v>
      </c>
    </row>
    <row r="13">
      <c r="C13" s="23">
        <v>4.0</v>
      </c>
      <c r="D13" s="21">
        <v>500000.0</v>
      </c>
      <c r="E13" s="26">
        <f t="shared" si="1"/>
        <v>90000</v>
      </c>
      <c r="F13" s="23">
        <v>590000.0</v>
      </c>
      <c r="G13" s="23">
        <f t="shared" si="2"/>
        <v>20000</v>
      </c>
      <c r="H13" s="21">
        <f t="shared" si="3"/>
        <v>125000</v>
      </c>
      <c r="I13" s="21">
        <f t="shared" si="4"/>
        <v>22500</v>
      </c>
      <c r="J13" s="21">
        <f t="shared" si="5"/>
        <v>147500</v>
      </c>
      <c r="K13" s="23">
        <f t="shared" si="6"/>
        <v>147500</v>
      </c>
    </row>
    <row r="14">
      <c r="C14" s="23">
        <v>5.0</v>
      </c>
      <c r="D14" s="21">
        <v>500000.0</v>
      </c>
      <c r="E14" s="26">
        <f t="shared" si="1"/>
        <v>120000</v>
      </c>
      <c r="F14" s="23">
        <v>620000.0</v>
      </c>
      <c r="G14" s="23">
        <f t="shared" si="2"/>
        <v>30000</v>
      </c>
      <c r="H14" s="21">
        <f t="shared" si="3"/>
        <v>100000</v>
      </c>
      <c r="I14" s="21">
        <f t="shared" si="4"/>
        <v>24000</v>
      </c>
      <c r="J14" s="21">
        <f t="shared" si="5"/>
        <v>124000</v>
      </c>
      <c r="K14" s="23">
        <f t="shared" si="6"/>
        <v>124000</v>
      </c>
    </row>
    <row r="15">
      <c r="C15" s="23">
        <v>6.0</v>
      </c>
      <c r="D15" s="21">
        <v>500000.0</v>
      </c>
      <c r="E15" s="26">
        <f t="shared" si="1"/>
        <v>160000</v>
      </c>
      <c r="F15" s="23">
        <v>660000.0</v>
      </c>
      <c r="G15" s="23">
        <f t="shared" si="2"/>
        <v>40000</v>
      </c>
      <c r="H15" s="21">
        <f t="shared" si="3"/>
        <v>83333.33333</v>
      </c>
      <c r="I15" s="21">
        <f t="shared" si="4"/>
        <v>26666.66667</v>
      </c>
      <c r="J15" s="21">
        <f t="shared" si="5"/>
        <v>110000</v>
      </c>
      <c r="K15" s="23">
        <f t="shared" si="6"/>
        <v>110000</v>
      </c>
    </row>
    <row r="16">
      <c r="C16" s="23">
        <v>7.0</v>
      </c>
      <c r="D16" s="21">
        <v>500000.0</v>
      </c>
      <c r="E16" s="26">
        <f t="shared" si="1"/>
        <v>220000</v>
      </c>
      <c r="F16" s="23">
        <v>720000.0</v>
      </c>
      <c r="G16" s="23">
        <f t="shared" si="2"/>
        <v>60000</v>
      </c>
      <c r="H16" s="21">
        <f t="shared" si="3"/>
        <v>71428.57143</v>
      </c>
      <c r="I16" s="21">
        <f t="shared" si="4"/>
        <v>31428.57143</v>
      </c>
      <c r="J16" s="21">
        <f t="shared" si="5"/>
        <v>102857.1429</v>
      </c>
      <c r="K16" s="23">
        <f t="shared" si="6"/>
        <v>102857.1429</v>
      </c>
    </row>
    <row r="17">
      <c r="C17" s="23">
        <v>8.0</v>
      </c>
      <c r="D17" s="21">
        <v>500000.0</v>
      </c>
      <c r="E17" s="26">
        <f t="shared" si="1"/>
        <v>300000</v>
      </c>
      <c r="F17" s="23">
        <v>800000.0</v>
      </c>
      <c r="G17" s="23">
        <f t="shared" si="2"/>
        <v>80000</v>
      </c>
      <c r="H17" s="21">
        <f t="shared" si="3"/>
        <v>62500</v>
      </c>
      <c r="I17" s="21">
        <f t="shared" si="4"/>
        <v>37500</v>
      </c>
      <c r="J17" s="21">
        <f t="shared" si="5"/>
        <v>100000</v>
      </c>
      <c r="K17" s="23">
        <f t="shared" si="6"/>
        <v>100000</v>
      </c>
    </row>
    <row r="18">
      <c r="C18" s="23">
        <v>9.0</v>
      </c>
      <c r="D18" s="21">
        <v>500000.0</v>
      </c>
      <c r="E18" s="26">
        <f t="shared" si="1"/>
        <v>420000</v>
      </c>
      <c r="F18" s="23">
        <v>920000.0</v>
      </c>
      <c r="G18" s="23">
        <f t="shared" si="2"/>
        <v>120000</v>
      </c>
      <c r="H18" s="21">
        <f t="shared" si="3"/>
        <v>55555.55556</v>
      </c>
      <c r="I18" s="21">
        <f t="shared" si="4"/>
        <v>46666.66667</v>
      </c>
      <c r="J18" s="21">
        <f t="shared" si="5"/>
        <v>102222.2222</v>
      </c>
      <c r="K18" s="23">
        <f t="shared" si="6"/>
        <v>102222.2222</v>
      </c>
    </row>
    <row r="19">
      <c r="C19" s="23">
        <v>10.0</v>
      </c>
      <c r="D19" s="21">
        <v>500000.0</v>
      </c>
      <c r="E19" s="26">
        <f t="shared" si="1"/>
        <v>600000</v>
      </c>
      <c r="F19" s="23">
        <v>1100000.0</v>
      </c>
      <c r="G19" s="23">
        <f t="shared" si="2"/>
        <v>180000</v>
      </c>
      <c r="H19" s="21">
        <f t="shared" si="3"/>
        <v>50000</v>
      </c>
      <c r="I19" s="21">
        <f t="shared" si="4"/>
        <v>60000</v>
      </c>
      <c r="J19" s="21">
        <f t="shared" si="5"/>
        <v>110000</v>
      </c>
      <c r="K19" s="23">
        <f t="shared" si="6"/>
        <v>110000</v>
      </c>
    </row>
    <row r="20">
      <c r="C20" s="23"/>
      <c r="F20" s="23"/>
      <c r="G20" s="23"/>
      <c r="K20" s="23"/>
    </row>
    <row r="21" ht="15.75" customHeight="1">
      <c r="C21" s="23"/>
      <c r="F21" s="23"/>
      <c r="G21" s="23"/>
      <c r="K21" s="23"/>
    </row>
    <row r="22" ht="15.75" customHeight="1">
      <c r="C22" s="23"/>
      <c r="F22" s="23"/>
      <c r="G22" s="23"/>
      <c r="K22" s="23"/>
    </row>
    <row r="23" ht="15.75" customHeight="1">
      <c r="C23" s="23"/>
      <c r="F23" s="23"/>
      <c r="G23" s="23"/>
      <c r="K23" s="23"/>
    </row>
    <row r="24" ht="15.75" customHeight="1">
      <c r="C24" s="23"/>
      <c r="F24" s="23"/>
      <c r="G24" s="23"/>
      <c r="K24" s="23"/>
    </row>
    <row r="25" ht="15.75" customHeight="1">
      <c r="C25" s="23"/>
      <c r="F25" s="23"/>
      <c r="G25" s="23"/>
      <c r="K25" s="23"/>
    </row>
    <row r="26" ht="15.75" customHeight="1">
      <c r="C26" s="23"/>
      <c r="F26" s="23"/>
      <c r="G26" s="23"/>
      <c r="K26" s="23"/>
    </row>
    <row r="27" ht="15.75" customHeight="1">
      <c r="C27" s="23"/>
      <c r="F27" s="23"/>
      <c r="G27" s="23"/>
      <c r="K27" s="23"/>
    </row>
    <row r="28" ht="15.75" customHeight="1">
      <c r="C28" s="23"/>
      <c r="F28" s="23"/>
      <c r="G28" s="23"/>
      <c r="K28" s="23"/>
    </row>
    <row r="29" ht="15.75" customHeight="1">
      <c r="C29" s="23"/>
      <c r="F29" s="23"/>
      <c r="G29" s="23"/>
      <c r="K29" s="23"/>
    </row>
    <row r="30" ht="15.75" customHeight="1">
      <c r="C30" s="23"/>
      <c r="F30" s="23"/>
      <c r="G30" s="23"/>
      <c r="K30" s="23"/>
    </row>
    <row r="31" ht="15.75" customHeight="1">
      <c r="C31" s="23"/>
      <c r="F31" s="23"/>
      <c r="G31" s="23"/>
      <c r="K31" s="23"/>
    </row>
    <row r="32" ht="15.75" customHeight="1">
      <c r="C32" s="23"/>
      <c r="F32" s="23"/>
      <c r="G32" s="23"/>
      <c r="K32" s="23"/>
    </row>
    <row r="33" ht="15.75" customHeight="1">
      <c r="C33" s="23"/>
      <c r="F33" s="23"/>
      <c r="G33" s="23"/>
      <c r="K33" s="23"/>
    </row>
    <row r="34" ht="15.75" customHeight="1">
      <c r="C34" s="23"/>
      <c r="F34" s="23"/>
      <c r="G34" s="23"/>
      <c r="K34" s="23"/>
    </row>
    <row r="35" ht="15.75" customHeight="1">
      <c r="C35" s="23"/>
      <c r="F35" s="23"/>
      <c r="G35" s="23"/>
      <c r="K35" s="23"/>
    </row>
    <row r="36" ht="15.75" customHeight="1">
      <c r="C36" s="23"/>
      <c r="F36" s="23"/>
      <c r="G36" s="23"/>
      <c r="K36" s="23"/>
    </row>
    <row r="37" ht="15.75" customHeight="1">
      <c r="C37" s="23"/>
      <c r="F37" s="23"/>
      <c r="G37" s="23"/>
      <c r="K37" s="23"/>
    </row>
    <row r="38" ht="15.75" customHeight="1">
      <c r="C38" s="23"/>
      <c r="F38" s="23"/>
      <c r="G38" s="23"/>
      <c r="K38" s="23"/>
    </row>
    <row r="39" ht="15.75" customHeight="1">
      <c r="C39" s="23"/>
      <c r="F39" s="23"/>
      <c r="G39" s="23"/>
      <c r="K39" s="23"/>
    </row>
    <row r="40" ht="15.75" customHeight="1">
      <c r="C40" s="23"/>
      <c r="F40" s="23"/>
      <c r="G40" s="23"/>
      <c r="K40" s="23"/>
    </row>
    <row r="41" ht="15.75" customHeight="1">
      <c r="C41" s="23"/>
      <c r="F41" s="23"/>
      <c r="G41" s="23"/>
      <c r="K41" s="23"/>
    </row>
    <row r="42" ht="15.75" customHeight="1">
      <c r="C42" s="23"/>
      <c r="F42" s="23"/>
      <c r="G42" s="23"/>
      <c r="K42" s="23"/>
    </row>
    <row r="43" ht="15.75" customHeight="1">
      <c r="C43" s="23"/>
      <c r="F43" s="23"/>
      <c r="G43" s="23"/>
      <c r="K43" s="23"/>
    </row>
    <row r="44" ht="15.75" customHeight="1">
      <c r="C44" s="23"/>
      <c r="F44" s="23"/>
      <c r="G44" s="23"/>
      <c r="K44" s="23"/>
    </row>
    <row r="45" ht="15.75" customHeight="1">
      <c r="C45" s="23"/>
      <c r="F45" s="23"/>
      <c r="G45" s="23"/>
      <c r="K45" s="23"/>
    </row>
    <row r="46" ht="15.75" customHeight="1">
      <c r="C46" s="23"/>
      <c r="F46" s="23"/>
      <c r="G46" s="23"/>
      <c r="K46" s="23"/>
    </row>
    <row r="47" ht="15.75" customHeight="1">
      <c r="C47" s="23"/>
      <c r="F47" s="23"/>
      <c r="G47" s="23"/>
      <c r="K47" s="23"/>
    </row>
    <row r="48" ht="15.75" customHeight="1">
      <c r="C48" s="23"/>
      <c r="F48" s="23"/>
      <c r="G48" s="23"/>
      <c r="K48" s="23"/>
    </row>
    <row r="49" ht="15.75" customHeight="1">
      <c r="C49" s="23"/>
      <c r="F49" s="23"/>
      <c r="G49" s="23"/>
      <c r="K49" s="23"/>
    </row>
    <row r="50" ht="15.75" customHeight="1">
      <c r="C50" s="23"/>
      <c r="F50" s="23"/>
      <c r="G50" s="23"/>
      <c r="K50" s="23"/>
    </row>
    <row r="51" ht="15.75" customHeight="1">
      <c r="C51" s="23"/>
      <c r="F51" s="23"/>
      <c r="G51" s="23"/>
      <c r="K51" s="23"/>
    </row>
    <row r="52" ht="15.75" customHeight="1">
      <c r="C52" s="23"/>
      <c r="F52" s="23"/>
      <c r="G52" s="23"/>
      <c r="K52" s="23"/>
    </row>
    <row r="53" ht="15.75" customHeight="1">
      <c r="C53" s="23"/>
      <c r="F53" s="23"/>
      <c r="G53" s="23"/>
      <c r="K53" s="23"/>
    </row>
    <row r="54" ht="15.75" customHeight="1">
      <c r="C54" s="23"/>
      <c r="F54" s="23"/>
      <c r="G54" s="23"/>
      <c r="K54" s="23"/>
    </row>
    <row r="55" ht="15.75" customHeight="1">
      <c r="C55" s="23"/>
      <c r="F55" s="23"/>
      <c r="G55" s="23"/>
      <c r="K55" s="23"/>
    </row>
    <row r="56" ht="15.75" customHeight="1">
      <c r="C56" s="23"/>
      <c r="F56" s="23"/>
      <c r="G56" s="23"/>
      <c r="K56" s="23"/>
    </row>
    <row r="57" ht="15.75" customHeight="1">
      <c r="C57" s="23"/>
      <c r="F57" s="23"/>
      <c r="G57" s="23"/>
      <c r="K57" s="23"/>
    </row>
    <row r="58" ht="15.75" customHeight="1">
      <c r="C58" s="23"/>
      <c r="F58" s="23"/>
      <c r="G58" s="23"/>
      <c r="K58" s="23"/>
    </row>
    <row r="59" ht="15.75" customHeight="1">
      <c r="C59" s="23"/>
      <c r="F59" s="23"/>
      <c r="G59" s="23"/>
      <c r="K59" s="23"/>
    </row>
    <row r="60" ht="15.75" customHeight="1">
      <c r="C60" s="23"/>
      <c r="F60" s="23"/>
      <c r="G60" s="23"/>
      <c r="K60" s="23"/>
    </row>
    <row r="61" ht="15.75" customHeight="1">
      <c r="C61" s="23"/>
      <c r="F61" s="23"/>
      <c r="G61" s="23"/>
      <c r="K61" s="23"/>
    </row>
    <row r="62" ht="15.75" customHeight="1">
      <c r="C62" s="23"/>
      <c r="F62" s="23"/>
      <c r="G62" s="23"/>
      <c r="K62" s="23"/>
    </row>
    <row r="63" ht="15.75" customHeight="1">
      <c r="C63" s="23"/>
      <c r="F63" s="23"/>
      <c r="G63" s="23"/>
      <c r="K63" s="23"/>
    </row>
    <row r="64" ht="15.75" customHeight="1">
      <c r="C64" s="23"/>
      <c r="F64" s="23"/>
      <c r="G64" s="23"/>
      <c r="K64" s="23"/>
    </row>
    <row r="65" ht="15.75" customHeight="1">
      <c r="C65" s="23"/>
      <c r="F65" s="23"/>
      <c r="G65" s="23"/>
      <c r="K65" s="23"/>
    </row>
    <row r="66" ht="15.75" customHeight="1">
      <c r="C66" s="23"/>
      <c r="F66" s="23"/>
      <c r="G66" s="23"/>
      <c r="K66" s="23"/>
    </row>
    <row r="67" ht="15.75" customHeight="1">
      <c r="C67" s="23"/>
      <c r="F67" s="23"/>
      <c r="G67" s="23"/>
      <c r="K67" s="23"/>
    </row>
    <row r="68" ht="15.75" customHeight="1">
      <c r="C68" s="23"/>
      <c r="F68" s="23"/>
      <c r="G68" s="23"/>
      <c r="K68" s="23"/>
    </row>
    <row r="69" ht="15.75" customHeight="1">
      <c r="C69" s="23"/>
      <c r="F69" s="23"/>
      <c r="G69" s="23"/>
      <c r="K69" s="23"/>
    </row>
    <row r="70" ht="15.75" customHeight="1">
      <c r="C70" s="23"/>
      <c r="F70" s="23"/>
      <c r="G70" s="23"/>
      <c r="K70" s="23"/>
    </row>
    <row r="71" ht="15.75" customHeight="1">
      <c r="C71" s="23"/>
      <c r="F71" s="23"/>
      <c r="G71" s="23"/>
      <c r="K71" s="23"/>
    </row>
    <row r="72" ht="15.75" customHeight="1">
      <c r="C72" s="23"/>
      <c r="F72" s="23"/>
      <c r="G72" s="23"/>
      <c r="K72" s="23"/>
    </row>
    <row r="73" ht="15.75" customHeight="1">
      <c r="C73" s="23"/>
      <c r="F73" s="23"/>
      <c r="G73" s="23"/>
      <c r="K73" s="23"/>
    </row>
    <row r="74" ht="15.75" customHeight="1">
      <c r="C74" s="23"/>
      <c r="F74" s="23"/>
      <c r="G74" s="23"/>
      <c r="K74" s="23"/>
    </row>
    <row r="75" ht="15.75" customHeight="1">
      <c r="C75" s="23"/>
      <c r="F75" s="23"/>
      <c r="G75" s="23"/>
      <c r="K75" s="23"/>
    </row>
    <row r="76" ht="15.75" customHeight="1">
      <c r="C76" s="23"/>
      <c r="F76" s="23"/>
      <c r="G76" s="23"/>
      <c r="K76" s="23"/>
    </row>
    <row r="77" ht="15.75" customHeight="1">
      <c r="C77" s="23"/>
      <c r="F77" s="23"/>
      <c r="G77" s="23"/>
      <c r="K77" s="23"/>
    </row>
    <row r="78" ht="15.75" customHeight="1">
      <c r="C78" s="23"/>
      <c r="F78" s="23"/>
      <c r="G78" s="23"/>
      <c r="K78" s="23"/>
    </row>
    <row r="79" ht="15.75" customHeight="1">
      <c r="C79" s="23"/>
      <c r="F79" s="23"/>
      <c r="G79" s="23"/>
      <c r="K79" s="23"/>
    </row>
    <row r="80" ht="15.75" customHeight="1">
      <c r="C80" s="23"/>
      <c r="F80" s="23"/>
      <c r="G80" s="23"/>
      <c r="K80" s="23"/>
    </row>
    <row r="81" ht="15.75" customHeight="1">
      <c r="C81" s="23"/>
      <c r="F81" s="23"/>
      <c r="G81" s="23"/>
      <c r="K81" s="23"/>
    </row>
    <row r="82" ht="15.75" customHeight="1">
      <c r="C82" s="23"/>
      <c r="F82" s="23"/>
      <c r="G82" s="23"/>
      <c r="K82" s="23"/>
    </row>
    <row r="83" ht="15.75" customHeight="1">
      <c r="C83" s="23"/>
      <c r="F83" s="23"/>
      <c r="G83" s="23"/>
      <c r="K83" s="23"/>
    </row>
    <row r="84" ht="15.75" customHeight="1">
      <c r="C84" s="23"/>
      <c r="F84" s="23"/>
      <c r="G84" s="23"/>
      <c r="K84" s="23"/>
    </row>
    <row r="85" ht="15.75" customHeight="1">
      <c r="C85" s="23"/>
      <c r="F85" s="23"/>
      <c r="G85" s="23"/>
      <c r="K85" s="23"/>
    </row>
    <row r="86" ht="15.75" customHeight="1">
      <c r="C86" s="23"/>
      <c r="F86" s="23"/>
      <c r="G86" s="23"/>
      <c r="K86" s="23"/>
    </row>
    <row r="87" ht="15.75" customHeight="1">
      <c r="C87" s="23"/>
      <c r="F87" s="23"/>
      <c r="G87" s="23"/>
      <c r="K87" s="23"/>
    </row>
    <row r="88" ht="15.75" customHeight="1">
      <c r="C88" s="23"/>
      <c r="F88" s="23"/>
      <c r="G88" s="23"/>
      <c r="K88" s="23"/>
    </row>
    <row r="89" ht="15.75" customHeight="1">
      <c r="C89" s="23"/>
      <c r="F89" s="23"/>
      <c r="G89" s="23"/>
      <c r="K89" s="23"/>
    </row>
    <row r="90" ht="15.75" customHeight="1">
      <c r="C90" s="23"/>
      <c r="F90" s="23"/>
      <c r="G90" s="23"/>
      <c r="K90" s="23"/>
    </row>
    <row r="91" ht="15.75" customHeight="1">
      <c r="C91" s="23"/>
      <c r="F91" s="23"/>
      <c r="G91" s="23"/>
      <c r="K91" s="23"/>
    </row>
    <row r="92" ht="15.75" customHeight="1">
      <c r="C92" s="23"/>
      <c r="F92" s="23"/>
      <c r="G92" s="23"/>
      <c r="K92" s="23"/>
    </row>
    <row r="93" ht="15.75" customHeight="1">
      <c r="C93" s="23"/>
      <c r="F93" s="23"/>
      <c r="G93" s="23"/>
      <c r="K93" s="23"/>
    </row>
    <row r="94" ht="15.75" customHeight="1">
      <c r="C94" s="23"/>
      <c r="F94" s="23"/>
      <c r="G94" s="23"/>
      <c r="K94" s="23"/>
    </row>
    <row r="95" ht="15.75" customHeight="1">
      <c r="C95" s="23"/>
      <c r="F95" s="23"/>
      <c r="G95" s="23"/>
      <c r="K95" s="23"/>
    </row>
    <row r="96" ht="15.75" customHeight="1">
      <c r="C96" s="23"/>
      <c r="F96" s="23"/>
      <c r="G96" s="23"/>
      <c r="K96" s="23"/>
    </row>
    <row r="97" ht="15.75" customHeight="1">
      <c r="C97" s="23"/>
      <c r="F97" s="23"/>
      <c r="G97" s="23"/>
      <c r="K97" s="23"/>
    </row>
    <row r="98" ht="15.75" customHeight="1">
      <c r="C98" s="23"/>
      <c r="F98" s="23"/>
      <c r="G98" s="23"/>
      <c r="K98" s="23"/>
    </row>
    <row r="99" ht="15.75" customHeight="1">
      <c r="C99" s="23"/>
      <c r="F99" s="23"/>
      <c r="G99" s="23"/>
      <c r="K99" s="23"/>
    </row>
    <row r="100" ht="15.75" customHeight="1">
      <c r="C100" s="23"/>
      <c r="F100" s="23"/>
      <c r="G100" s="23"/>
      <c r="K100" s="23"/>
    </row>
    <row r="101" ht="15.75" customHeight="1">
      <c r="C101" s="23"/>
      <c r="F101" s="23"/>
      <c r="G101" s="23"/>
      <c r="K101" s="23"/>
    </row>
    <row r="102" ht="15.75" customHeight="1">
      <c r="C102" s="23"/>
      <c r="F102" s="23"/>
      <c r="G102" s="23"/>
      <c r="K102" s="23"/>
    </row>
    <row r="103" ht="15.75" customHeight="1">
      <c r="C103" s="23"/>
      <c r="F103" s="23"/>
      <c r="G103" s="23"/>
      <c r="K103" s="23"/>
    </row>
    <row r="104" ht="15.75" customHeight="1">
      <c r="C104" s="23"/>
      <c r="F104" s="23"/>
      <c r="G104" s="23"/>
      <c r="K104" s="23"/>
    </row>
    <row r="105" ht="15.75" customHeight="1">
      <c r="C105" s="23"/>
      <c r="F105" s="23"/>
      <c r="G105" s="23"/>
      <c r="K105" s="23"/>
    </row>
    <row r="106" ht="15.75" customHeight="1">
      <c r="C106" s="23"/>
      <c r="F106" s="23"/>
      <c r="G106" s="23"/>
      <c r="K106" s="23"/>
    </row>
    <row r="107" ht="15.75" customHeight="1">
      <c r="C107" s="23"/>
      <c r="F107" s="23"/>
      <c r="G107" s="23"/>
      <c r="K107" s="23"/>
    </row>
    <row r="108" ht="15.75" customHeight="1">
      <c r="C108" s="23"/>
      <c r="F108" s="23"/>
      <c r="G108" s="23"/>
      <c r="K108" s="23"/>
    </row>
    <row r="109" ht="15.75" customHeight="1">
      <c r="C109" s="23"/>
      <c r="F109" s="23"/>
      <c r="G109" s="23"/>
      <c r="K109" s="23"/>
    </row>
    <row r="110" ht="15.75" customHeight="1">
      <c r="C110" s="23"/>
      <c r="F110" s="23"/>
      <c r="G110" s="23"/>
      <c r="K110" s="23"/>
    </row>
    <row r="111" ht="15.75" customHeight="1">
      <c r="C111" s="23"/>
      <c r="F111" s="23"/>
      <c r="G111" s="23"/>
      <c r="K111" s="23"/>
    </row>
    <row r="112" ht="15.75" customHeight="1">
      <c r="C112" s="23"/>
      <c r="F112" s="23"/>
      <c r="G112" s="23"/>
      <c r="K112" s="23"/>
    </row>
    <row r="113" ht="15.75" customHeight="1">
      <c r="C113" s="23"/>
      <c r="F113" s="23"/>
      <c r="G113" s="23"/>
      <c r="K113" s="23"/>
    </row>
    <row r="114" ht="15.75" customHeight="1">
      <c r="C114" s="23"/>
      <c r="F114" s="23"/>
      <c r="G114" s="23"/>
      <c r="K114" s="23"/>
    </row>
    <row r="115" ht="15.75" customHeight="1">
      <c r="C115" s="23"/>
      <c r="F115" s="23"/>
      <c r="G115" s="23"/>
      <c r="K115" s="23"/>
    </row>
    <row r="116" ht="15.75" customHeight="1">
      <c r="C116" s="23"/>
      <c r="F116" s="23"/>
      <c r="G116" s="23"/>
      <c r="K116" s="23"/>
    </row>
    <row r="117" ht="15.75" customHeight="1">
      <c r="C117" s="23"/>
      <c r="F117" s="23"/>
      <c r="G117" s="23"/>
      <c r="K117" s="23"/>
    </row>
    <row r="118" ht="15.75" customHeight="1">
      <c r="C118" s="23"/>
      <c r="F118" s="23"/>
      <c r="G118" s="23"/>
      <c r="K118" s="23"/>
    </row>
    <row r="119" ht="15.75" customHeight="1">
      <c r="C119" s="23"/>
      <c r="F119" s="23"/>
      <c r="G119" s="23"/>
      <c r="K119" s="23"/>
    </row>
    <row r="120" ht="15.75" customHeight="1">
      <c r="C120" s="23"/>
      <c r="F120" s="23"/>
      <c r="G120" s="23"/>
      <c r="K120" s="23"/>
    </row>
    <row r="121" ht="15.75" customHeight="1">
      <c r="C121" s="23"/>
      <c r="F121" s="23"/>
      <c r="G121" s="23"/>
      <c r="K121" s="23"/>
    </row>
    <row r="122" ht="15.75" customHeight="1">
      <c r="C122" s="23"/>
      <c r="F122" s="23"/>
      <c r="G122" s="23"/>
      <c r="K122" s="23"/>
    </row>
    <row r="123" ht="15.75" customHeight="1">
      <c r="C123" s="23"/>
      <c r="F123" s="23"/>
      <c r="G123" s="23"/>
      <c r="K123" s="23"/>
    </row>
    <row r="124" ht="15.75" customHeight="1">
      <c r="C124" s="23"/>
      <c r="F124" s="23"/>
      <c r="G124" s="23"/>
      <c r="K124" s="23"/>
    </row>
    <row r="125" ht="15.75" customHeight="1">
      <c r="C125" s="23"/>
      <c r="F125" s="23"/>
      <c r="G125" s="23"/>
      <c r="K125" s="23"/>
    </row>
    <row r="126" ht="15.75" customHeight="1">
      <c r="C126" s="23"/>
      <c r="F126" s="23"/>
      <c r="G126" s="23"/>
      <c r="K126" s="23"/>
    </row>
    <row r="127" ht="15.75" customHeight="1">
      <c r="C127" s="23"/>
      <c r="F127" s="23"/>
      <c r="G127" s="23"/>
      <c r="K127" s="23"/>
    </row>
    <row r="128" ht="15.75" customHeight="1">
      <c r="C128" s="23"/>
      <c r="F128" s="23"/>
      <c r="G128" s="23"/>
      <c r="K128" s="23"/>
    </row>
    <row r="129" ht="15.75" customHeight="1">
      <c r="C129" s="23"/>
      <c r="F129" s="23"/>
      <c r="G129" s="23"/>
      <c r="K129" s="23"/>
    </row>
    <row r="130" ht="15.75" customHeight="1">
      <c r="C130" s="23"/>
      <c r="F130" s="23"/>
      <c r="G130" s="23"/>
      <c r="K130" s="23"/>
    </row>
    <row r="131" ht="15.75" customHeight="1">
      <c r="C131" s="23"/>
      <c r="F131" s="23"/>
      <c r="G131" s="23"/>
      <c r="K131" s="23"/>
    </row>
    <row r="132" ht="15.75" customHeight="1">
      <c r="C132" s="23"/>
      <c r="F132" s="23"/>
      <c r="G132" s="23"/>
      <c r="K132" s="23"/>
    </row>
    <row r="133" ht="15.75" customHeight="1">
      <c r="C133" s="23"/>
      <c r="F133" s="23"/>
      <c r="G133" s="23"/>
      <c r="K133" s="23"/>
    </row>
    <row r="134" ht="15.75" customHeight="1">
      <c r="C134" s="23"/>
      <c r="F134" s="23"/>
      <c r="G134" s="23"/>
      <c r="K134" s="23"/>
    </row>
    <row r="135" ht="15.75" customHeight="1">
      <c r="C135" s="23"/>
      <c r="F135" s="23"/>
      <c r="G135" s="23"/>
      <c r="K135" s="23"/>
    </row>
    <row r="136" ht="15.75" customHeight="1">
      <c r="C136" s="23"/>
      <c r="F136" s="23"/>
      <c r="G136" s="23"/>
      <c r="K136" s="23"/>
    </row>
    <row r="137" ht="15.75" customHeight="1">
      <c r="C137" s="23"/>
      <c r="F137" s="23"/>
      <c r="G137" s="23"/>
      <c r="K137" s="23"/>
    </row>
    <row r="138" ht="15.75" customHeight="1">
      <c r="C138" s="23"/>
      <c r="F138" s="23"/>
      <c r="G138" s="23"/>
      <c r="K138" s="23"/>
    </row>
    <row r="139" ht="15.75" customHeight="1">
      <c r="C139" s="23"/>
      <c r="F139" s="23"/>
      <c r="G139" s="23"/>
      <c r="K139" s="23"/>
    </row>
    <row r="140" ht="15.75" customHeight="1">
      <c r="C140" s="23"/>
      <c r="F140" s="23"/>
      <c r="G140" s="23"/>
      <c r="K140" s="23"/>
    </row>
    <row r="141" ht="15.75" customHeight="1">
      <c r="C141" s="23"/>
      <c r="F141" s="23"/>
      <c r="G141" s="23"/>
      <c r="K141" s="23"/>
    </row>
    <row r="142" ht="15.75" customHeight="1">
      <c r="C142" s="23"/>
      <c r="F142" s="23"/>
      <c r="G142" s="23"/>
      <c r="K142" s="23"/>
    </row>
    <row r="143" ht="15.75" customHeight="1">
      <c r="C143" s="23"/>
      <c r="F143" s="23"/>
      <c r="G143" s="23"/>
      <c r="K143" s="23"/>
    </row>
    <row r="144" ht="15.75" customHeight="1">
      <c r="C144" s="23"/>
      <c r="F144" s="23"/>
      <c r="G144" s="23"/>
      <c r="K144" s="23"/>
    </row>
    <row r="145" ht="15.75" customHeight="1">
      <c r="C145" s="23"/>
      <c r="F145" s="23"/>
      <c r="G145" s="23"/>
      <c r="K145" s="23"/>
    </row>
    <row r="146" ht="15.75" customHeight="1">
      <c r="C146" s="23"/>
      <c r="F146" s="23"/>
      <c r="G146" s="23"/>
      <c r="K146" s="23"/>
    </row>
    <row r="147" ht="15.75" customHeight="1">
      <c r="C147" s="23"/>
      <c r="F147" s="23"/>
      <c r="G147" s="23"/>
      <c r="K147" s="23"/>
    </row>
    <row r="148" ht="15.75" customHeight="1">
      <c r="C148" s="23"/>
      <c r="F148" s="23"/>
      <c r="G148" s="23"/>
      <c r="K148" s="23"/>
    </row>
    <row r="149" ht="15.75" customHeight="1">
      <c r="C149" s="23"/>
      <c r="F149" s="23"/>
      <c r="G149" s="23"/>
      <c r="K149" s="23"/>
    </row>
    <row r="150" ht="15.75" customHeight="1">
      <c r="C150" s="23"/>
      <c r="F150" s="23"/>
      <c r="G150" s="23"/>
      <c r="K150" s="23"/>
    </row>
    <row r="151" ht="15.75" customHeight="1">
      <c r="C151" s="23"/>
      <c r="F151" s="23"/>
      <c r="G151" s="23"/>
      <c r="K151" s="23"/>
    </row>
    <row r="152" ht="15.75" customHeight="1">
      <c r="C152" s="23"/>
      <c r="F152" s="23"/>
      <c r="G152" s="23"/>
      <c r="K152" s="23"/>
    </row>
    <row r="153" ht="15.75" customHeight="1">
      <c r="C153" s="23"/>
      <c r="F153" s="23"/>
      <c r="G153" s="23"/>
      <c r="K153" s="23"/>
    </row>
    <row r="154" ht="15.75" customHeight="1">
      <c r="C154" s="23"/>
      <c r="F154" s="23"/>
      <c r="G154" s="23"/>
      <c r="K154" s="23"/>
    </row>
    <row r="155" ht="15.75" customHeight="1">
      <c r="C155" s="23"/>
      <c r="F155" s="23"/>
      <c r="G155" s="23"/>
      <c r="K155" s="23"/>
    </row>
    <row r="156" ht="15.75" customHeight="1">
      <c r="C156" s="23"/>
      <c r="F156" s="23"/>
      <c r="G156" s="23"/>
      <c r="K156" s="23"/>
    </row>
    <row r="157" ht="15.75" customHeight="1">
      <c r="C157" s="23"/>
      <c r="F157" s="23"/>
      <c r="G157" s="23"/>
      <c r="K157" s="23"/>
    </row>
    <row r="158" ht="15.75" customHeight="1">
      <c r="C158" s="23"/>
      <c r="F158" s="23"/>
      <c r="G158" s="23"/>
      <c r="K158" s="23"/>
    </row>
    <row r="159" ht="15.75" customHeight="1">
      <c r="C159" s="23"/>
      <c r="F159" s="23"/>
      <c r="G159" s="23"/>
      <c r="K159" s="23"/>
    </row>
    <row r="160" ht="15.75" customHeight="1">
      <c r="C160" s="23"/>
      <c r="F160" s="23"/>
      <c r="G160" s="23"/>
      <c r="K160" s="23"/>
    </row>
    <row r="161" ht="15.75" customHeight="1">
      <c r="C161" s="23"/>
      <c r="F161" s="23"/>
      <c r="G161" s="23"/>
      <c r="K161" s="23"/>
    </row>
    <row r="162" ht="15.75" customHeight="1">
      <c r="C162" s="23"/>
      <c r="F162" s="23"/>
      <c r="G162" s="23"/>
      <c r="K162" s="23"/>
    </row>
    <row r="163" ht="15.75" customHeight="1">
      <c r="C163" s="23"/>
      <c r="F163" s="23"/>
      <c r="G163" s="23"/>
      <c r="K163" s="23"/>
    </row>
    <row r="164" ht="15.75" customHeight="1">
      <c r="C164" s="23"/>
      <c r="F164" s="23"/>
      <c r="G164" s="23"/>
      <c r="K164" s="23"/>
    </row>
    <row r="165" ht="15.75" customHeight="1">
      <c r="C165" s="23"/>
      <c r="F165" s="23"/>
      <c r="G165" s="23"/>
      <c r="K165" s="23"/>
    </row>
    <row r="166" ht="15.75" customHeight="1">
      <c r="C166" s="23"/>
      <c r="F166" s="23"/>
      <c r="G166" s="23"/>
      <c r="K166" s="23"/>
    </row>
    <row r="167" ht="15.75" customHeight="1">
      <c r="C167" s="23"/>
      <c r="F167" s="23"/>
      <c r="G167" s="23"/>
      <c r="K167" s="23"/>
    </row>
    <row r="168" ht="15.75" customHeight="1">
      <c r="C168" s="23"/>
      <c r="F168" s="23"/>
      <c r="G168" s="23"/>
      <c r="K168" s="23"/>
    </row>
    <row r="169" ht="15.75" customHeight="1">
      <c r="C169" s="23"/>
      <c r="F169" s="23"/>
      <c r="G169" s="23"/>
      <c r="K169" s="23"/>
    </row>
    <row r="170" ht="15.75" customHeight="1">
      <c r="C170" s="23"/>
      <c r="F170" s="23"/>
      <c r="G170" s="23"/>
      <c r="K170" s="23"/>
    </row>
    <row r="171" ht="15.75" customHeight="1">
      <c r="C171" s="23"/>
      <c r="F171" s="23"/>
      <c r="G171" s="23"/>
      <c r="K171" s="23"/>
    </row>
    <row r="172" ht="15.75" customHeight="1">
      <c r="C172" s="23"/>
      <c r="F172" s="23"/>
      <c r="G172" s="23"/>
      <c r="K172" s="23"/>
    </row>
    <row r="173" ht="15.75" customHeight="1">
      <c r="C173" s="23"/>
      <c r="F173" s="23"/>
      <c r="G173" s="23"/>
      <c r="K173" s="23"/>
    </row>
    <row r="174" ht="15.75" customHeight="1">
      <c r="C174" s="23"/>
      <c r="F174" s="23"/>
      <c r="G174" s="23"/>
      <c r="K174" s="23"/>
    </row>
    <row r="175" ht="15.75" customHeight="1">
      <c r="C175" s="23"/>
      <c r="F175" s="23"/>
      <c r="G175" s="23"/>
      <c r="K175" s="23"/>
    </row>
    <row r="176" ht="15.75" customHeight="1">
      <c r="C176" s="23"/>
      <c r="F176" s="23"/>
      <c r="G176" s="23"/>
      <c r="K176" s="23"/>
    </row>
    <row r="177" ht="15.75" customHeight="1">
      <c r="C177" s="23"/>
      <c r="F177" s="23"/>
      <c r="G177" s="23"/>
      <c r="K177" s="23"/>
    </row>
    <row r="178" ht="15.75" customHeight="1">
      <c r="C178" s="23"/>
      <c r="F178" s="23"/>
      <c r="G178" s="23"/>
      <c r="K178" s="23"/>
    </row>
    <row r="179" ht="15.75" customHeight="1">
      <c r="C179" s="23"/>
      <c r="F179" s="23"/>
      <c r="G179" s="23"/>
      <c r="K179" s="23"/>
    </row>
    <row r="180" ht="15.75" customHeight="1">
      <c r="C180" s="23"/>
      <c r="F180" s="23"/>
      <c r="G180" s="23"/>
      <c r="K180" s="23"/>
    </row>
    <row r="181" ht="15.75" customHeight="1">
      <c r="C181" s="23"/>
      <c r="F181" s="23"/>
      <c r="G181" s="23"/>
      <c r="K181" s="23"/>
    </row>
    <row r="182" ht="15.75" customHeight="1">
      <c r="C182" s="23"/>
      <c r="F182" s="23"/>
      <c r="G182" s="23"/>
      <c r="K182" s="23"/>
    </row>
    <row r="183" ht="15.75" customHeight="1">
      <c r="C183" s="23"/>
      <c r="F183" s="23"/>
      <c r="G183" s="23"/>
      <c r="K183" s="23"/>
    </row>
    <row r="184" ht="15.75" customHeight="1">
      <c r="C184" s="23"/>
      <c r="F184" s="23"/>
      <c r="G184" s="23"/>
      <c r="K184" s="23"/>
    </row>
    <row r="185" ht="15.75" customHeight="1">
      <c r="C185" s="23"/>
      <c r="F185" s="23"/>
      <c r="G185" s="23"/>
      <c r="K185" s="23"/>
    </row>
    <row r="186" ht="15.75" customHeight="1">
      <c r="C186" s="23"/>
      <c r="F186" s="23"/>
      <c r="G186" s="23"/>
      <c r="K186" s="23"/>
    </row>
    <row r="187" ht="15.75" customHeight="1">
      <c r="C187" s="23"/>
      <c r="F187" s="23"/>
      <c r="G187" s="23"/>
      <c r="K187" s="23"/>
    </row>
    <row r="188" ht="15.75" customHeight="1">
      <c r="C188" s="23"/>
      <c r="F188" s="23"/>
      <c r="G188" s="23"/>
      <c r="K188" s="23"/>
    </row>
    <row r="189" ht="15.75" customHeight="1">
      <c r="C189" s="23"/>
      <c r="F189" s="23"/>
      <c r="G189" s="23"/>
      <c r="K189" s="23"/>
    </row>
    <row r="190" ht="15.75" customHeight="1">
      <c r="C190" s="23"/>
      <c r="F190" s="23"/>
      <c r="G190" s="23"/>
      <c r="K190" s="23"/>
    </row>
    <row r="191" ht="15.75" customHeight="1">
      <c r="C191" s="23"/>
      <c r="F191" s="23"/>
      <c r="G191" s="23"/>
      <c r="K191" s="23"/>
    </row>
    <row r="192" ht="15.75" customHeight="1">
      <c r="C192" s="23"/>
      <c r="F192" s="23"/>
      <c r="G192" s="23"/>
      <c r="K192" s="23"/>
    </row>
    <row r="193" ht="15.75" customHeight="1">
      <c r="C193" s="23"/>
      <c r="F193" s="23"/>
      <c r="G193" s="23"/>
      <c r="K193" s="23"/>
    </row>
    <row r="194" ht="15.75" customHeight="1">
      <c r="C194" s="23"/>
      <c r="F194" s="23"/>
      <c r="G194" s="23"/>
      <c r="K194" s="23"/>
    </row>
    <row r="195" ht="15.75" customHeight="1">
      <c r="C195" s="23"/>
      <c r="F195" s="23"/>
      <c r="G195" s="23"/>
      <c r="K195" s="23"/>
    </row>
    <row r="196" ht="15.75" customHeight="1">
      <c r="C196" s="23"/>
      <c r="F196" s="23"/>
      <c r="G196" s="23"/>
      <c r="K196" s="23"/>
    </row>
    <row r="197" ht="15.75" customHeight="1">
      <c r="C197" s="23"/>
      <c r="F197" s="23"/>
      <c r="G197" s="23"/>
      <c r="K197" s="23"/>
    </row>
    <row r="198" ht="15.75" customHeight="1">
      <c r="C198" s="23"/>
      <c r="F198" s="23"/>
      <c r="G198" s="23"/>
      <c r="K198" s="23"/>
    </row>
    <row r="199" ht="15.75" customHeight="1">
      <c r="C199" s="23"/>
      <c r="F199" s="23"/>
      <c r="G199" s="23"/>
      <c r="K199" s="23"/>
    </row>
    <row r="200" ht="15.75" customHeight="1">
      <c r="C200" s="23"/>
      <c r="F200" s="23"/>
      <c r="G200" s="23"/>
      <c r="K200" s="23"/>
    </row>
    <row r="201" ht="15.75" customHeight="1">
      <c r="C201" s="23"/>
      <c r="F201" s="23"/>
      <c r="G201" s="23"/>
      <c r="K201" s="23"/>
    </row>
    <row r="202" ht="15.75" customHeight="1">
      <c r="C202" s="23"/>
      <c r="F202" s="23"/>
      <c r="G202" s="23"/>
      <c r="K202" s="23"/>
    </row>
    <row r="203" ht="15.75" customHeight="1">
      <c r="C203" s="23"/>
      <c r="F203" s="23"/>
      <c r="G203" s="23"/>
      <c r="K203" s="23"/>
    </row>
    <row r="204" ht="15.75" customHeight="1">
      <c r="C204" s="23"/>
      <c r="F204" s="23"/>
      <c r="G204" s="23"/>
      <c r="K204" s="23"/>
    </row>
    <row r="205" ht="15.75" customHeight="1">
      <c r="C205" s="23"/>
      <c r="F205" s="23"/>
      <c r="G205" s="23"/>
      <c r="K205" s="23"/>
    </row>
    <row r="206" ht="15.75" customHeight="1">
      <c r="C206" s="23"/>
      <c r="F206" s="23"/>
      <c r="G206" s="23"/>
      <c r="K206" s="23"/>
    </row>
    <row r="207" ht="15.75" customHeight="1">
      <c r="C207" s="23"/>
      <c r="F207" s="23"/>
      <c r="G207" s="23"/>
      <c r="K207" s="23"/>
    </row>
    <row r="208" ht="15.75" customHeight="1">
      <c r="C208" s="23"/>
      <c r="F208" s="23"/>
      <c r="G208" s="23"/>
      <c r="K208" s="23"/>
    </row>
    <row r="209" ht="15.75" customHeight="1">
      <c r="C209" s="23"/>
      <c r="F209" s="23"/>
      <c r="G209" s="23"/>
      <c r="K209" s="23"/>
    </row>
    <row r="210" ht="15.75" customHeight="1">
      <c r="C210" s="23"/>
      <c r="F210" s="23"/>
      <c r="G210" s="23"/>
      <c r="K210" s="23"/>
    </row>
    <row r="211" ht="15.75" customHeight="1">
      <c r="C211" s="23"/>
      <c r="F211" s="23"/>
      <c r="G211" s="23"/>
      <c r="K211" s="23"/>
    </row>
    <row r="212" ht="15.75" customHeight="1">
      <c r="C212" s="23"/>
      <c r="F212" s="23"/>
      <c r="G212" s="23"/>
      <c r="K212" s="23"/>
    </row>
    <row r="213" ht="15.75" customHeight="1">
      <c r="C213" s="23"/>
      <c r="F213" s="23"/>
      <c r="G213" s="23"/>
      <c r="K213" s="23"/>
    </row>
    <row r="214" ht="15.75" customHeight="1">
      <c r="C214" s="23"/>
      <c r="F214" s="23"/>
      <c r="G214" s="23"/>
      <c r="K214" s="23"/>
    </row>
    <row r="215" ht="15.75" customHeight="1">
      <c r="C215" s="23"/>
      <c r="F215" s="23"/>
      <c r="G215" s="23"/>
      <c r="K215" s="23"/>
    </row>
    <row r="216" ht="15.75" customHeight="1">
      <c r="C216" s="23"/>
      <c r="F216" s="23"/>
      <c r="G216" s="23"/>
      <c r="K216" s="23"/>
    </row>
    <row r="217" ht="15.75" customHeight="1">
      <c r="C217" s="23"/>
      <c r="F217" s="23"/>
      <c r="G217" s="23"/>
      <c r="K217" s="23"/>
    </row>
    <row r="218" ht="15.75" customHeight="1">
      <c r="C218" s="23"/>
      <c r="F218" s="23"/>
      <c r="G218" s="23"/>
      <c r="K218" s="23"/>
    </row>
    <row r="219" ht="15.75" customHeight="1">
      <c r="C219" s="23"/>
      <c r="F219" s="23"/>
      <c r="G219" s="23"/>
      <c r="K219" s="23"/>
    </row>
    <row r="220" ht="15.75" customHeight="1">
      <c r="C220" s="23"/>
      <c r="F220" s="23"/>
      <c r="G220" s="23"/>
      <c r="K220" s="23"/>
    </row>
    <row r="221" ht="15.75" customHeight="1">
      <c r="C221" s="23"/>
      <c r="F221" s="23"/>
      <c r="G221" s="23"/>
      <c r="K221" s="23"/>
    </row>
    <row r="222" ht="15.75" customHeight="1">
      <c r="C222" s="23"/>
      <c r="F222" s="23"/>
      <c r="G222" s="23"/>
      <c r="K222" s="23"/>
    </row>
    <row r="223" ht="15.75" customHeight="1">
      <c r="C223" s="23"/>
      <c r="F223" s="23"/>
      <c r="G223" s="23"/>
      <c r="K223" s="23"/>
    </row>
    <row r="224" ht="15.75" customHeight="1">
      <c r="C224" s="23"/>
      <c r="F224" s="23"/>
      <c r="G224" s="23"/>
      <c r="K224" s="23"/>
    </row>
    <row r="225" ht="15.75" customHeight="1">
      <c r="C225" s="23"/>
      <c r="F225" s="23"/>
      <c r="G225" s="23"/>
      <c r="K225" s="23"/>
    </row>
    <row r="226" ht="15.75" customHeight="1">
      <c r="C226" s="23"/>
      <c r="F226" s="23"/>
      <c r="G226" s="23"/>
      <c r="K226" s="23"/>
    </row>
    <row r="227" ht="15.75" customHeight="1">
      <c r="C227" s="23"/>
      <c r="F227" s="23"/>
      <c r="G227" s="23"/>
      <c r="K227" s="23"/>
    </row>
    <row r="228" ht="15.75" customHeight="1">
      <c r="C228" s="23"/>
      <c r="F228" s="23"/>
      <c r="G228" s="23"/>
      <c r="K228" s="23"/>
    </row>
    <row r="229" ht="15.75" customHeight="1">
      <c r="C229" s="23"/>
      <c r="F229" s="23"/>
      <c r="G229" s="23"/>
      <c r="K229" s="23"/>
    </row>
    <row r="230" ht="15.75" customHeight="1">
      <c r="C230" s="23"/>
      <c r="F230" s="23"/>
      <c r="G230" s="23"/>
      <c r="K230" s="23"/>
    </row>
    <row r="231" ht="15.75" customHeight="1">
      <c r="C231" s="23"/>
      <c r="F231" s="23"/>
      <c r="G231" s="23"/>
      <c r="K231" s="23"/>
    </row>
    <row r="232" ht="15.75" customHeight="1">
      <c r="C232" s="23"/>
      <c r="F232" s="23"/>
      <c r="G232" s="23"/>
      <c r="K232" s="23"/>
    </row>
    <row r="233" ht="15.75" customHeight="1">
      <c r="C233" s="23"/>
      <c r="F233" s="23"/>
      <c r="G233" s="23"/>
      <c r="K233" s="23"/>
    </row>
    <row r="234" ht="15.75" customHeight="1">
      <c r="C234" s="23"/>
      <c r="F234" s="23"/>
      <c r="G234" s="23"/>
      <c r="K234" s="23"/>
    </row>
    <row r="235" ht="15.75" customHeight="1">
      <c r="C235" s="23"/>
      <c r="F235" s="23"/>
      <c r="G235" s="23"/>
      <c r="K235" s="23"/>
    </row>
    <row r="236" ht="15.75" customHeight="1">
      <c r="C236" s="23"/>
      <c r="F236" s="23"/>
      <c r="G236" s="23"/>
      <c r="K236" s="23"/>
    </row>
    <row r="237" ht="15.75" customHeight="1">
      <c r="C237" s="23"/>
      <c r="F237" s="23"/>
      <c r="G237" s="23"/>
      <c r="K237" s="23"/>
    </row>
    <row r="238" ht="15.75" customHeight="1">
      <c r="C238" s="23"/>
      <c r="F238" s="23"/>
      <c r="G238" s="23"/>
      <c r="K238" s="23"/>
    </row>
    <row r="239" ht="15.75" customHeight="1">
      <c r="C239" s="23"/>
      <c r="F239" s="23"/>
      <c r="G239" s="23"/>
      <c r="K239" s="23"/>
    </row>
    <row r="240" ht="15.75" customHeight="1">
      <c r="C240" s="23"/>
      <c r="F240" s="23"/>
      <c r="G240" s="23"/>
      <c r="K240" s="23"/>
    </row>
    <row r="241" ht="15.75" customHeight="1">
      <c r="C241" s="23"/>
      <c r="F241" s="23"/>
      <c r="G241" s="23"/>
      <c r="K241" s="23"/>
    </row>
    <row r="242" ht="15.75" customHeight="1">
      <c r="C242" s="23"/>
      <c r="F242" s="23"/>
      <c r="G242" s="23"/>
      <c r="K242" s="23"/>
    </row>
    <row r="243" ht="15.75" customHeight="1">
      <c r="C243" s="23"/>
      <c r="F243" s="23"/>
      <c r="G243" s="23"/>
      <c r="K243" s="23"/>
    </row>
    <row r="244" ht="15.75" customHeight="1">
      <c r="C244" s="23"/>
      <c r="F244" s="23"/>
      <c r="G244" s="23"/>
      <c r="K244" s="23"/>
    </row>
    <row r="245" ht="15.75" customHeight="1">
      <c r="C245" s="23"/>
      <c r="F245" s="23"/>
      <c r="G245" s="23"/>
      <c r="K245" s="23"/>
    </row>
    <row r="246" ht="15.75" customHeight="1">
      <c r="C246" s="23"/>
      <c r="F246" s="23"/>
      <c r="G246" s="23"/>
      <c r="K246" s="23"/>
    </row>
    <row r="247" ht="15.75" customHeight="1">
      <c r="C247" s="23"/>
      <c r="F247" s="23"/>
      <c r="G247" s="23"/>
      <c r="K247" s="23"/>
    </row>
    <row r="248" ht="15.75" customHeight="1">
      <c r="C248" s="23"/>
      <c r="F248" s="23"/>
      <c r="G248" s="23"/>
      <c r="K248" s="23"/>
    </row>
    <row r="249" ht="15.75" customHeight="1">
      <c r="C249" s="23"/>
      <c r="F249" s="23"/>
      <c r="G249" s="23"/>
      <c r="K249" s="23"/>
    </row>
    <row r="250" ht="15.75" customHeight="1">
      <c r="C250" s="23"/>
      <c r="F250" s="23"/>
      <c r="G250" s="23"/>
      <c r="K250" s="23"/>
    </row>
    <row r="251" ht="15.75" customHeight="1">
      <c r="C251" s="23"/>
      <c r="F251" s="23"/>
      <c r="G251" s="23"/>
      <c r="K251" s="23"/>
    </row>
    <row r="252" ht="15.75" customHeight="1">
      <c r="C252" s="23"/>
      <c r="F252" s="23"/>
      <c r="G252" s="23"/>
      <c r="K252" s="23"/>
    </row>
    <row r="253" ht="15.75" customHeight="1">
      <c r="C253" s="23"/>
      <c r="F253" s="23"/>
      <c r="G253" s="23"/>
      <c r="K253" s="23"/>
    </row>
    <row r="254" ht="15.75" customHeight="1">
      <c r="C254" s="23"/>
      <c r="F254" s="23"/>
      <c r="G254" s="23"/>
      <c r="K254" s="23"/>
    </row>
    <row r="255" ht="15.75" customHeight="1">
      <c r="C255" s="23"/>
      <c r="F255" s="23"/>
      <c r="G255" s="23"/>
      <c r="K255" s="23"/>
    </row>
    <row r="256" ht="15.75" customHeight="1">
      <c r="C256" s="23"/>
      <c r="F256" s="23"/>
      <c r="G256" s="23"/>
      <c r="K256" s="23"/>
    </row>
    <row r="257" ht="15.75" customHeight="1">
      <c r="C257" s="23"/>
      <c r="F257" s="23"/>
      <c r="G257" s="23"/>
      <c r="K257" s="23"/>
    </row>
    <row r="258" ht="15.75" customHeight="1">
      <c r="C258" s="23"/>
      <c r="F258" s="23"/>
      <c r="G258" s="23"/>
      <c r="K258" s="23"/>
    </row>
    <row r="259" ht="15.75" customHeight="1">
      <c r="C259" s="23"/>
      <c r="F259" s="23"/>
      <c r="G259" s="23"/>
      <c r="K259" s="23"/>
    </row>
    <row r="260" ht="15.75" customHeight="1">
      <c r="C260" s="23"/>
      <c r="F260" s="23"/>
      <c r="G260" s="23"/>
      <c r="K260" s="23"/>
    </row>
    <row r="261" ht="15.75" customHeight="1">
      <c r="C261" s="23"/>
      <c r="F261" s="23"/>
      <c r="G261" s="23"/>
      <c r="K261" s="23"/>
    </row>
    <row r="262" ht="15.75" customHeight="1">
      <c r="C262" s="23"/>
      <c r="F262" s="23"/>
      <c r="G262" s="23"/>
      <c r="K262" s="23"/>
    </row>
    <row r="263" ht="15.75" customHeight="1">
      <c r="C263" s="23"/>
      <c r="F263" s="23"/>
      <c r="G263" s="23"/>
      <c r="K263" s="23"/>
    </row>
    <row r="264" ht="15.75" customHeight="1">
      <c r="C264" s="23"/>
      <c r="F264" s="23"/>
      <c r="G264" s="23"/>
      <c r="K264" s="23"/>
    </row>
    <row r="265" ht="15.75" customHeight="1">
      <c r="C265" s="23"/>
      <c r="F265" s="23"/>
      <c r="G265" s="23"/>
      <c r="K265" s="23"/>
    </row>
    <row r="266" ht="15.75" customHeight="1">
      <c r="C266" s="23"/>
      <c r="F266" s="23"/>
      <c r="G266" s="23"/>
      <c r="K266" s="23"/>
    </row>
    <row r="267" ht="15.75" customHeight="1">
      <c r="C267" s="23"/>
      <c r="F267" s="23"/>
      <c r="G267" s="23"/>
      <c r="K267" s="23"/>
    </row>
    <row r="268" ht="15.75" customHeight="1">
      <c r="C268" s="23"/>
      <c r="F268" s="23"/>
      <c r="G268" s="23"/>
      <c r="K268" s="23"/>
    </row>
    <row r="269" ht="15.75" customHeight="1">
      <c r="C269" s="23"/>
      <c r="F269" s="23"/>
      <c r="G269" s="23"/>
      <c r="K269" s="23"/>
    </row>
    <row r="270" ht="15.75" customHeight="1">
      <c r="C270" s="23"/>
      <c r="F270" s="23"/>
      <c r="G270" s="23"/>
      <c r="K270" s="23"/>
    </row>
    <row r="271" ht="15.75" customHeight="1">
      <c r="C271" s="23"/>
      <c r="F271" s="23"/>
      <c r="G271" s="23"/>
      <c r="K271" s="23"/>
    </row>
    <row r="272" ht="15.75" customHeight="1">
      <c r="C272" s="23"/>
      <c r="F272" s="23"/>
      <c r="G272" s="23"/>
      <c r="K272" s="23"/>
    </row>
    <row r="273" ht="15.75" customHeight="1">
      <c r="C273" s="23"/>
      <c r="F273" s="23"/>
      <c r="G273" s="23"/>
      <c r="K273" s="23"/>
    </row>
    <row r="274" ht="15.75" customHeight="1">
      <c r="C274" s="23"/>
      <c r="F274" s="23"/>
      <c r="G274" s="23"/>
      <c r="K274" s="23"/>
    </row>
    <row r="275" ht="15.75" customHeight="1">
      <c r="C275" s="23"/>
      <c r="F275" s="23"/>
      <c r="G275" s="23"/>
      <c r="K275" s="23"/>
    </row>
    <row r="276" ht="15.75" customHeight="1">
      <c r="C276" s="23"/>
      <c r="F276" s="23"/>
      <c r="G276" s="23"/>
      <c r="K276" s="23"/>
    </row>
    <row r="277" ht="15.75" customHeight="1">
      <c r="C277" s="23"/>
      <c r="F277" s="23"/>
      <c r="G277" s="23"/>
      <c r="K277" s="23"/>
    </row>
    <row r="278" ht="15.75" customHeight="1">
      <c r="C278" s="23"/>
      <c r="F278" s="23"/>
      <c r="G278" s="23"/>
      <c r="K278" s="23"/>
    </row>
    <row r="279" ht="15.75" customHeight="1">
      <c r="C279" s="23"/>
      <c r="F279" s="23"/>
      <c r="G279" s="23"/>
      <c r="K279" s="23"/>
    </row>
    <row r="280" ht="15.75" customHeight="1">
      <c r="C280" s="23"/>
      <c r="F280" s="23"/>
      <c r="G280" s="23"/>
      <c r="K280" s="23"/>
    </row>
    <row r="281" ht="15.75" customHeight="1">
      <c r="C281" s="23"/>
      <c r="F281" s="23"/>
      <c r="G281" s="23"/>
      <c r="K281" s="23"/>
    </row>
    <row r="282" ht="15.75" customHeight="1">
      <c r="C282" s="23"/>
      <c r="F282" s="23"/>
      <c r="G282" s="23"/>
      <c r="K282" s="23"/>
    </row>
    <row r="283" ht="15.75" customHeight="1">
      <c r="C283" s="23"/>
      <c r="F283" s="23"/>
      <c r="G283" s="23"/>
      <c r="K283" s="23"/>
    </row>
    <row r="284" ht="15.75" customHeight="1">
      <c r="C284" s="23"/>
      <c r="F284" s="23"/>
      <c r="G284" s="23"/>
      <c r="K284" s="23"/>
    </row>
    <row r="285" ht="15.75" customHeight="1">
      <c r="C285" s="23"/>
      <c r="F285" s="23"/>
      <c r="G285" s="23"/>
      <c r="K285" s="23"/>
    </row>
    <row r="286" ht="15.75" customHeight="1">
      <c r="C286" s="23"/>
      <c r="F286" s="23"/>
      <c r="G286" s="23"/>
      <c r="K286" s="23"/>
    </row>
    <row r="287" ht="15.75" customHeight="1">
      <c r="C287" s="23"/>
      <c r="F287" s="23"/>
      <c r="G287" s="23"/>
      <c r="K287" s="23"/>
    </row>
    <row r="288" ht="15.75" customHeight="1">
      <c r="C288" s="23"/>
      <c r="F288" s="23"/>
      <c r="G288" s="23"/>
      <c r="K288" s="23"/>
    </row>
    <row r="289" ht="15.75" customHeight="1">
      <c r="C289" s="23"/>
      <c r="F289" s="23"/>
      <c r="G289" s="23"/>
      <c r="K289" s="23"/>
    </row>
    <row r="290" ht="15.75" customHeight="1">
      <c r="C290" s="23"/>
      <c r="F290" s="23"/>
      <c r="G290" s="23"/>
      <c r="K290" s="23"/>
    </row>
    <row r="291" ht="15.75" customHeight="1">
      <c r="C291" s="23"/>
      <c r="F291" s="23"/>
      <c r="G291" s="23"/>
      <c r="K291" s="23"/>
    </row>
    <row r="292" ht="15.75" customHeight="1">
      <c r="C292" s="23"/>
      <c r="F292" s="23"/>
      <c r="G292" s="23"/>
      <c r="K292" s="23"/>
    </row>
    <row r="293" ht="15.75" customHeight="1">
      <c r="C293" s="23"/>
      <c r="F293" s="23"/>
      <c r="G293" s="23"/>
      <c r="K293" s="23"/>
    </row>
    <row r="294" ht="15.75" customHeight="1">
      <c r="C294" s="23"/>
      <c r="F294" s="23"/>
      <c r="G294" s="23"/>
      <c r="K294" s="23"/>
    </row>
    <row r="295" ht="15.75" customHeight="1">
      <c r="C295" s="23"/>
      <c r="F295" s="23"/>
      <c r="G295" s="23"/>
      <c r="K295" s="23"/>
    </row>
    <row r="296" ht="15.75" customHeight="1">
      <c r="C296" s="23"/>
      <c r="F296" s="23"/>
      <c r="G296" s="23"/>
      <c r="K296" s="23"/>
    </row>
    <row r="297" ht="15.75" customHeight="1">
      <c r="C297" s="23"/>
      <c r="F297" s="23"/>
      <c r="G297" s="23"/>
      <c r="K297" s="23"/>
    </row>
    <row r="298" ht="15.75" customHeight="1">
      <c r="C298" s="23"/>
      <c r="F298" s="23"/>
      <c r="G298" s="23"/>
      <c r="K298" s="23"/>
    </row>
    <row r="299" ht="15.75" customHeight="1">
      <c r="C299" s="23"/>
      <c r="F299" s="23"/>
      <c r="G299" s="23"/>
      <c r="K299" s="23"/>
    </row>
    <row r="300" ht="15.75" customHeight="1">
      <c r="C300" s="23"/>
      <c r="F300" s="23"/>
      <c r="G300" s="23"/>
      <c r="K300" s="23"/>
    </row>
    <row r="301" ht="15.75" customHeight="1">
      <c r="C301" s="23"/>
      <c r="F301" s="23"/>
      <c r="G301" s="23"/>
      <c r="K301" s="23"/>
    </row>
    <row r="302" ht="15.75" customHeight="1">
      <c r="C302" s="23"/>
      <c r="F302" s="23"/>
      <c r="G302" s="23"/>
      <c r="K302" s="23"/>
    </row>
    <row r="303" ht="15.75" customHeight="1">
      <c r="C303" s="23"/>
      <c r="F303" s="23"/>
      <c r="G303" s="23"/>
      <c r="K303" s="23"/>
    </row>
    <row r="304" ht="15.75" customHeight="1">
      <c r="C304" s="23"/>
      <c r="F304" s="23"/>
      <c r="G304" s="23"/>
      <c r="K304" s="23"/>
    </row>
    <row r="305" ht="15.75" customHeight="1">
      <c r="C305" s="23"/>
      <c r="F305" s="23"/>
      <c r="G305" s="23"/>
      <c r="K305" s="23"/>
    </row>
    <row r="306" ht="15.75" customHeight="1">
      <c r="C306" s="23"/>
      <c r="F306" s="23"/>
      <c r="G306" s="23"/>
      <c r="K306" s="23"/>
    </row>
    <row r="307" ht="15.75" customHeight="1">
      <c r="C307" s="23"/>
      <c r="F307" s="23"/>
      <c r="G307" s="23"/>
      <c r="K307" s="23"/>
    </row>
    <row r="308" ht="15.75" customHeight="1">
      <c r="C308" s="23"/>
      <c r="F308" s="23"/>
      <c r="G308" s="23"/>
      <c r="K308" s="23"/>
    </row>
    <row r="309" ht="15.75" customHeight="1">
      <c r="C309" s="23"/>
      <c r="F309" s="23"/>
      <c r="G309" s="23"/>
      <c r="K309" s="23"/>
    </row>
    <row r="310" ht="15.75" customHeight="1">
      <c r="C310" s="23"/>
      <c r="F310" s="23"/>
      <c r="G310" s="23"/>
      <c r="K310" s="23"/>
    </row>
    <row r="311" ht="15.75" customHeight="1">
      <c r="C311" s="23"/>
      <c r="F311" s="23"/>
      <c r="G311" s="23"/>
      <c r="K311" s="23"/>
    </row>
    <row r="312" ht="15.75" customHeight="1">
      <c r="C312" s="23"/>
      <c r="F312" s="23"/>
      <c r="G312" s="23"/>
      <c r="K312" s="23"/>
    </row>
    <row r="313" ht="15.75" customHeight="1">
      <c r="C313" s="23"/>
      <c r="F313" s="23"/>
      <c r="G313" s="23"/>
      <c r="K313" s="23"/>
    </row>
    <row r="314" ht="15.75" customHeight="1">
      <c r="C314" s="23"/>
      <c r="F314" s="23"/>
      <c r="G314" s="23"/>
      <c r="K314" s="23"/>
    </row>
    <row r="315" ht="15.75" customHeight="1">
      <c r="C315" s="23"/>
      <c r="F315" s="23"/>
      <c r="G315" s="23"/>
      <c r="K315" s="23"/>
    </row>
    <row r="316" ht="15.75" customHeight="1">
      <c r="C316" s="23"/>
      <c r="F316" s="23"/>
      <c r="G316" s="23"/>
      <c r="K316" s="23"/>
    </row>
    <row r="317" ht="15.75" customHeight="1">
      <c r="C317" s="23"/>
      <c r="F317" s="23"/>
      <c r="G317" s="23"/>
      <c r="K317" s="23"/>
    </row>
    <row r="318" ht="15.75" customHeight="1">
      <c r="C318" s="23"/>
      <c r="F318" s="23"/>
      <c r="G318" s="23"/>
      <c r="K318" s="23"/>
    </row>
    <row r="319" ht="15.75" customHeight="1">
      <c r="C319" s="23"/>
      <c r="F319" s="23"/>
      <c r="G319" s="23"/>
      <c r="K319" s="23"/>
    </row>
    <row r="320" ht="15.75" customHeight="1">
      <c r="C320" s="23"/>
      <c r="F320" s="23"/>
      <c r="G320" s="23"/>
      <c r="K320" s="23"/>
    </row>
    <row r="321" ht="15.75" customHeight="1">
      <c r="C321" s="23"/>
      <c r="F321" s="23"/>
      <c r="G321" s="23"/>
      <c r="K321" s="23"/>
    </row>
    <row r="322" ht="15.75" customHeight="1">
      <c r="C322" s="23"/>
      <c r="F322" s="23"/>
      <c r="G322" s="23"/>
      <c r="K322" s="23"/>
    </row>
    <row r="323" ht="15.75" customHeight="1">
      <c r="C323" s="23"/>
      <c r="F323" s="23"/>
      <c r="G323" s="23"/>
      <c r="K323" s="23"/>
    </row>
    <row r="324" ht="15.75" customHeight="1">
      <c r="C324" s="23"/>
      <c r="F324" s="23"/>
      <c r="G324" s="23"/>
      <c r="K324" s="23"/>
    </row>
    <row r="325" ht="15.75" customHeight="1">
      <c r="C325" s="23"/>
      <c r="F325" s="23"/>
      <c r="G325" s="23"/>
      <c r="K325" s="23"/>
    </row>
    <row r="326" ht="15.75" customHeight="1">
      <c r="C326" s="23"/>
      <c r="F326" s="23"/>
      <c r="G326" s="23"/>
      <c r="K326" s="23"/>
    </row>
    <row r="327" ht="15.75" customHeight="1">
      <c r="C327" s="23"/>
      <c r="F327" s="23"/>
      <c r="G327" s="23"/>
      <c r="K327" s="23"/>
    </row>
    <row r="328" ht="15.75" customHeight="1">
      <c r="C328" s="23"/>
      <c r="F328" s="23"/>
      <c r="G328" s="23"/>
      <c r="K328" s="23"/>
    </row>
    <row r="329" ht="15.75" customHeight="1">
      <c r="C329" s="23"/>
      <c r="F329" s="23"/>
      <c r="G329" s="23"/>
      <c r="K329" s="23"/>
    </row>
    <row r="330" ht="15.75" customHeight="1">
      <c r="C330" s="23"/>
      <c r="F330" s="23"/>
      <c r="G330" s="23"/>
      <c r="K330" s="23"/>
    </row>
    <row r="331" ht="15.75" customHeight="1">
      <c r="C331" s="23"/>
      <c r="F331" s="23"/>
      <c r="G331" s="23"/>
      <c r="K331" s="23"/>
    </row>
    <row r="332" ht="15.75" customHeight="1">
      <c r="C332" s="23"/>
      <c r="F332" s="23"/>
      <c r="G332" s="23"/>
      <c r="K332" s="23"/>
    </row>
    <row r="333" ht="15.75" customHeight="1">
      <c r="C333" s="23"/>
      <c r="F333" s="23"/>
      <c r="G333" s="23"/>
      <c r="K333" s="23"/>
    </row>
    <row r="334" ht="15.75" customHeight="1">
      <c r="C334" s="23"/>
      <c r="F334" s="23"/>
      <c r="G334" s="23"/>
      <c r="K334" s="23"/>
    </row>
    <row r="335" ht="15.75" customHeight="1">
      <c r="C335" s="23"/>
      <c r="F335" s="23"/>
      <c r="G335" s="23"/>
      <c r="K335" s="23"/>
    </row>
    <row r="336" ht="15.75" customHeight="1">
      <c r="C336" s="23"/>
      <c r="F336" s="23"/>
      <c r="G336" s="23"/>
      <c r="K336" s="23"/>
    </row>
    <row r="337" ht="15.75" customHeight="1">
      <c r="C337" s="23"/>
      <c r="F337" s="23"/>
      <c r="G337" s="23"/>
      <c r="K337" s="23"/>
    </row>
    <row r="338" ht="15.75" customHeight="1">
      <c r="C338" s="23"/>
      <c r="F338" s="23"/>
      <c r="G338" s="23"/>
      <c r="K338" s="23"/>
    </row>
    <row r="339" ht="15.75" customHeight="1">
      <c r="C339" s="23"/>
      <c r="F339" s="23"/>
      <c r="G339" s="23"/>
      <c r="K339" s="23"/>
    </row>
    <row r="340" ht="15.75" customHeight="1">
      <c r="C340" s="23"/>
      <c r="F340" s="23"/>
      <c r="G340" s="23"/>
      <c r="K340" s="23"/>
    </row>
    <row r="341" ht="15.75" customHeight="1">
      <c r="C341" s="23"/>
      <c r="F341" s="23"/>
      <c r="G341" s="23"/>
      <c r="K341" s="23"/>
    </row>
    <row r="342" ht="15.75" customHeight="1">
      <c r="C342" s="23"/>
      <c r="F342" s="23"/>
      <c r="G342" s="23"/>
      <c r="K342" s="23"/>
    </row>
    <row r="343" ht="15.75" customHeight="1">
      <c r="C343" s="23"/>
      <c r="F343" s="23"/>
      <c r="G343" s="23"/>
      <c r="K343" s="23"/>
    </row>
    <row r="344" ht="15.75" customHeight="1">
      <c r="C344" s="23"/>
      <c r="F344" s="23"/>
      <c r="G344" s="23"/>
      <c r="K344" s="23"/>
    </row>
    <row r="345" ht="15.75" customHeight="1">
      <c r="C345" s="23"/>
      <c r="F345" s="23"/>
      <c r="G345" s="23"/>
      <c r="K345" s="23"/>
    </row>
    <row r="346" ht="15.75" customHeight="1">
      <c r="C346" s="23"/>
      <c r="F346" s="23"/>
      <c r="G346" s="23"/>
      <c r="K346" s="23"/>
    </row>
    <row r="347" ht="15.75" customHeight="1">
      <c r="C347" s="23"/>
      <c r="F347" s="23"/>
      <c r="G347" s="23"/>
      <c r="K347" s="23"/>
    </row>
    <row r="348" ht="15.75" customHeight="1">
      <c r="C348" s="23"/>
      <c r="F348" s="23"/>
      <c r="G348" s="23"/>
      <c r="K348" s="23"/>
    </row>
    <row r="349" ht="15.75" customHeight="1">
      <c r="C349" s="23"/>
      <c r="F349" s="23"/>
      <c r="G349" s="23"/>
      <c r="K349" s="23"/>
    </row>
    <row r="350" ht="15.75" customHeight="1">
      <c r="C350" s="23"/>
      <c r="F350" s="23"/>
      <c r="G350" s="23"/>
      <c r="K350" s="23"/>
    </row>
    <row r="351" ht="15.75" customHeight="1">
      <c r="C351" s="23"/>
      <c r="F351" s="23"/>
      <c r="G351" s="23"/>
      <c r="K351" s="23"/>
    </row>
    <row r="352" ht="15.75" customHeight="1">
      <c r="C352" s="23"/>
      <c r="F352" s="23"/>
      <c r="G352" s="23"/>
      <c r="K352" s="23"/>
    </row>
    <row r="353" ht="15.75" customHeight="1">
      <c r="C353" s="23"/>
      <c r="F353" s="23"/>
      <c r="G353" s="23"/>
      <c r="K353" s="23"/>
    </row>
    <row r="354" ht="15.75" customHeight="1">
      <c r="C354" s="23"/>
      <c r="F354" s="23"/>
      <c r="G354" s="23"/>
      <c r="K354" s="23"/>
    </row>
    <row r="355" ht="15.75" customHeight="1">
      <c r="C355" s="23"/>
      <c r="F355" s="23"/>
      <c r="G355" s="23"/>
      <c r="K355" s="23"/>
    </row>
    <row r="356" ht="15.75" customHeight="1">
      <c r="C356" s="23"/>
      <c r="F356" s="23"/>
      <c r="G356" s="23"/>
      <c r="K356" s="23"/>
    </row>
    <row r="357" ht="15.75" customHeight="1">
      <c r="C357" s="23"/>
      <c r="F357" s="23"/>
      <c r="G357" s="23"/>
      <c r="K357" s="23"/>
    </row>
    <row r="358" ht="15.75" customHeight="1">
      <c r="C358" s="23"/>
      <c r="F358" s="23"/>
      <c r="G358" s="23"/>
      <c r="K358" s="23"/>
    </row>
    <row r="359" ht="15.75" customHeight="1">
      <c r="C359" s="23"/>
      <c r="F359" s="23"/>
      <c r="G359" s="23"/>
      <c r="K359" s="23"/>
    </row>
    <row r="360" ht="15.75" customHeight="1">
      <c r="C360" s="23"/>
      <c r="F360" s="23"/>
      <c r="G360" s="23"/>
      <c r="K360" s="23"/>
    </row>
    <row r="361" ht="15.75" customHeight="1">
      <c r="C361" s="23"/>
      <c r="F361" s="23"/>
      <c r="G361" s="23"/>
      <c r="K361" s="23"/>
    </row>
    <row r="362" ht="15.75" customHeight="1">
      <c r="C362" s="23"/>
      <c r="F362" s="23"/>
      <c r="G362" s="23"/>
      <c r="K362" s="23"/>
    </row>
    <row r="363" ht="15.75" customHeight="1">
      <c r="C363" s="23"/>
      <c r="F363" s="23"/>
      <c r="G363" s="23"/>
      <c r="K363" s="23"/>
    </row>
    <row r="364" ht="15.75" customHeight="1">
      <c r="C364" s="23"/>
      <c r="F364" s="23"/>
      <c r="G364" s="23"/>
      <c r="K364" s="23"/>
    </row>
    <row r="365" ht="15.75" customHeight="1">
      <c r="C365" s="23"/>
      <c r="F365" s="23"/>
      <c r="G365" s="23"/>
      <c r="K365" s="23"/>
    </row>
    <row r="366" ht="15.75" customHeight="1">
      <c r="C366" s="23"/>
      <c r="F366" s="23"/>
      <c r="G366" s="23"/>
      <c r="K366" s="23"/>
    </row>
    <row r="367" ht="15.75" customHeight="1">
      <c r="C367" s="23"/>
      <c r="F367" s="23"/>
      <c r="G367" s="23"/>
      <c r="K367" s="23"/>
    </row>
    <row r="368" ht="15.75" customHeight="1">
      <c r="C368" s="23"/>
      <c r="F368" s="23"/>
      <c r="G368" s="23"/>
      <c r="K368" s="23"/>
    </row>
    <row r="369" ht="15.75" customHeight="1">
      <c r="C369" s="23"/>
      <c r="F369" s="23"/>
      <c r="G369" s="23"/>
      <c r="K369" s="23"/>
    </row>
    <row r="370" ht="15.75" customHeight="1">
      <c r="C370" s="23"/>
      <c r="F370" s="23"/>
      <c r="G370" s="23"/>
      <c r="K370" s="23"/>
    </row>
    <row r="371" ht="15.75" customHeight="1">
      <c r="C371" s="23"/>
      <c r="F371" s="23"/>
      <c r="G371" s="23"/>
      <c r="K371" s="23"/>
    </row>
    <row r="372" ht="15.75" customHeight="1">
      <c r="C372" s="23"/>
      <c r="F372" s="23"/>
      <c r="G372" s="23"/>
      <c r="K372" s="23"/>
    </row>
    <row r="373" ht="15.75" customHeight="1">
      <c r="C373" s="23"/>
      <c r="F373" s="23"/>
      <c r="G373" s="23"/>
      <c r="K373" s="23"/>
    </row>
    <row r="374" ht="15.75" customHeight="1">
      <c r="C374" s="23"/>
      <c r="F374" s="23"/>
      <c r="G374" s="23"/>
      <c r="K374" s="23"/>
    </row>
    <row r="375" ht="15.75" customHeight="1">
      <c r="C375" s="23"/>
      <c r="F375" s="23"/>
      <c r="G375" s="23"/>
      <c r="K375" s="23"/>
    </row>
    <row r="376" ht="15.75" customHeight="1">
      <c r="C376" s="23"/>
      <c r="F376" s="23"/>
      <c r="G376" s="23"/>
      <c r="K376" s="23"/>
    </row>
    <row r="377" ht="15.75" customHeight="1">
      <c r="C377" s="23"/>
      <c r="F377" s="23"/>
      <c r="G377" s="23"/>
      <c r="K377" s="23"/>
    </row>
    <row r="378" ht="15.75" customHeight="1">
      <c r="C378" s="23"/>
      <c r="F378" s="23"/>
      <c r="G378" s="23"/>
      <c r="K378" s="23"/>
    </row>
    <row r="379" ht="15.75" customHeight="1">
      <c r="C379" s="23"/>
      <c r="F379" s="23"/>
      <c r="G379" s="23"/>
      <c r="K379" s="23"/>
    </row>
    <row r="380" ht="15.75" customHeight="1">
      <c r="C380" s="23"/>
      <c r="F380" s="23"/>
      <c r="G380" s="23"/>
      <c r="K380" s="23"/>
    </row>
    <row r="381" ht="15.75" customHeight="1">
      <c r="C381" s="23"/>
      <c r="F381" s="23"/>
      <c r="G381" s="23"/>
      <c r="K381" s="23"/>
    </row>
    <row r="382" ht="15.75" customHeight="1">
      <c r="C382" s="23"/>
      <c r="F382" s="23"/>
      <c r="G382" s="23"/>
      <c r="K382" s="23"/>
    </row>
    <row r="383" ht="15.75" customHeight="1">
      <c r="C383" s="23"/>
      <c r="F383" s="23"/>
      <c r="G383" s="23"/>
      <c r="K383" s="23"/>
    </row>
    <row r="384" ht="15.75" customHeight="1">
      <c r="C384" s="23"/>
      <c r="F384" s="23"/>
      <c r="G384" s="23"/>
      <c r="K384" s="23"/>
    </row>
    <row r="385" ht="15.75" customHeight="1">
      <c r="C385" s="23"/>
      <c r="F385" s="23"/>
      <c r="G385" s="23"/>
      <c r="K385" s="23"/>
    </row>
    <row r="386" ht="15.75" customHeight="1">
      <c r="C386" s="23"/>
      <c r="F386" s="23"/>
      <c r="G386" s="23"/>
      <c r="K386" s="23"/>
    </row>
    <row r="387" ht="15.75" customHeight="1">
      <c r="C387" s="23"/>
      <c r="F387" s="23"/>
      <c r="G387" s="23"/>
      <c r="K387" s="23"/>
    </row>
    <row r="388" ht="15.75" customHeight="1">
      <c r="C388" s="23"/>
      <c r="F388" s="23"/>
      <c r="G388" s="23"/>
      <c r="K388" s="23"/>
    </row>
    <row r="389" ht="15.75" customHeight="1">
      <c r="C389" s="23"/>
      <c r="F389" s="23"/>
      <c r="G389" s="23"/>
      <c r="K389" s="23"/>
    </row>
    <row r="390" ht="15.75" customHeight="1">
      <c r="C390" s="23"/>
      <c r="F390" s="23"/>
      <c r="G390" s="23"/>
      <c r="K390" s="23"/>
    </row>
    <row r="391" ht="15.75" customHeight="1">
      <c r="C391" s="23"/>
      <c r="F391" s="23"/>
      <c r="G391" s="23"/>
      <c r="K391" s="23"/>
    </row>
    <row r="392" ht="15.75" customHeight="1">
      <c r="C392" s="23"/>
      <c r="F392" s="23"/>
      <c r="G392" s="23"/>
      <c r="K392" s="23"/>
    </row>
    <row r="393" ht="15.75" customHeight="1">
      <c r="C393" s="23"/>
      <c r="F393" s="23"/>
      <c r="G393" s="23"/>
      <c r="K393" s="23"/>
    </row>
    <row r="394" ht="15.75" customHeight="1">
      <c r="C394" s="23"/>
      <c r="F394" s="23"/>
      <c r="G394" s="23"/>
      <c r="K394" s="23"/>
    </row>
    <row r="395" ht="15.75" customHeight="1">
      <c r="C395" s="23"/>
      <c r="F395" s="23"/>
      <c r="G395" s="23"/>
      <c r="K395" s="23"/>
    </row>
    <row r="396" ht="15.75" customHeight="1">
      <c r="C396" s="23"/>
      <c r="F396" s="23"/>
      <c r="G396" s="23"/>
      <c r="K396" s="23"/>
    </row>
    <row r="397" ht="15.75" customHeight="1">
      <c r="C397" s="23"/>
      <c r="F397" s="23"/>
      <c r="G397" s="23"/>
      <c r="K397" s="23"/>
    </row>
    <row r="398" ht="15.75" customHeight="1">
      <c r="C398" s="23"/>
      <c r="F398" s="23"/>
      <c r="G398" s="23"/>
      <c r="K398" s="23"/>
    </row>
    <row r="399" ht="15.75" customHeight="1">
      <c r="C399" s="23"/>
      <c r="F399" s="23"/>
      <c r="G399" s="23"/>
      <c r="K399" s="23"/>
    </row>
    <row r="400" ht="15.75" customHeight="1">
      <c r="C400" s="23"/>
      <c r="F400" s="23"/>
      <c r="G400" s="23"/>
      <c r="K400" s="23"/>
    </row>
    <row r="401" ht="15.75" customHeight="1">
      <c r="C401" s="23"/>
      <c r="F401" s="23"/>
      <c r="G401" s="23"/>
      <c r="K401" s="23"/>
    </row>
    <row r="402" ht="15.75" customHeight="1">
      <c r="C402" s="23"/>
      <c r="F402" s="23"/>
      <c r="G402" s="23"/>
      <c r="K402" s="23"/>
    </row>
    <row r="403" ht="15.75" customHeight="1">
      <c r="C403" s="23"/>
      <c r="F403" s="23"/>
      <c r="G403" s="23"/>
      <c r="K403" s="23"/>
    </row>
    <row r="404" ht="15.75" customHeight="1">
      <c r="C404" s="23"/>
      <c r="F404" s="23"/>
      <c r="G404" s="23"/>
      <c r="K404" s="23"/>
    </row>
    <row r="405" ht="15.75" customHeight="1">
      <c r="C405" s="23"/>
      <c r="F405" s="23"/>
      <c r="G405" s="23"/>
      <c r="K405" s="23"/>
    </row>
    <row r="406" ht="15.75" customHeight="1">
      <c r="C406" s="23"/>
      <c r="F406" s="23"/>
      <c r="G406" s="23"/>
      <c r="K406" s="23"/>
    </row>
    <row r="407" ht="15.75" customHeight="1">
      <c r="C407" s="23"/>
      <c r="F407" s="23"/>
      <c r="G407" s="23"/>
      <c r="K407" s="23"/>
    </row>
    <row r="408" ht="15.75" customHeight="1">
      <c r="C408" s="23"/>
      <c r="F408" s="23"/>
      <c r="G408" s="23"/>
      <c r="K408" s="23"/>
    </row>
    <row r="409" ht="15.75" customHeight="1">
      <c r="C409" s="23"/>
      <c r="F409" s="23"/>
      <c r="G409" s="23"/>
      <c r="K409" s="23"/>
    </row>
    <row r="410" ht="15.75" customHeight="1">
      <c r="C410" s="23"/>
      <c r="F410" s="23"/>
      <c r="G410" s="23"/>
      <c r="K410" s="23"/>
    </row>
    <row r="411" ht="15.75" customHeight="1">
      <c r="C411" s="23"/>
      <c r="F411" s="23"/>
      <c r="G411" s="23"/>
      <c r="K411" s="23"/>
    </row>
    <row r="412" ht="15.75" customHeight="1">
      <c r="C412" s="23"/>
      <c r="F412" s="23"/>
      <c r="G412" s="23"/>
      <c r="K412" s="23"/>
    </row>
    <row r="413" ht="15.75" customHeight="1">
      <c r="C413" s="23"/>
      <c r="F413" s="23"/>
      <c r="G413" s="23"/>
      <c r="K413" s="23"/>
    </row>
    <row r="414" ht="15.75" customHeight="1">
      <c r="C414" s="23"/>
      <c r="F414" s="23"/>
      <c r="G414" s="23"/>
      <c r="K414" s="23"/>
    </row>
    <row r="415" ht="15.75" customHeight="1">
      <c r="C415" s="23"/>
      <c r="F415" s="23"/>
      <c r="G415" s="23"/>
      <c r="K415" s="23"/>
    </row>
    <row r="416" ht="15.75" customHeight="1">
      <c r="C416" s="23"/>
      <c r="F416" s="23"/>
      <c r="G416" s="23"/>
      <c r="K416" s="23"/>
    </row>
    <row r="417" ht="15.75" customHeight="1">
      <c r="C417" s="23"/>
      <c r="F417" s="23"/>
      <c r="G417" s="23"/>
      <c r="K417" s="23"/>
    </row>
    <row r="418" ht="15.75" customHeight="1">
      <c r="C418" s="23"/>
      <c r="F418" s="23"/>
      <c r="G418" s="23"/>
      <c r="K418" s="23"/>
    </row>
    <row r="419" ht="15.75" customHeight="1">
      <c r="C419" s="23"/>
      <c r="F419" s="23"/>
      <c r="G419" s="23"/>
      <c r="K419" s="23"/>
    </row>
    <row r="420" ht="15.75" customHeight="1">
      <c r="C420" s="23"/>
      <c r="F420" s="23"/>
      <c r="G420" s="23"/>
      <c r="K420" s="23"/>
    </row>
    <row r="421" ht="15.75" customHeight="1">
      <c r="C421" s="23"/>
      <c r="F421" s="23"/>
      <c r="G421" s="23"/>
      <c r="K421" s="23"/>
    </row>
    <row r="422" ht="15.75" customHeight="1">
      <c r="C422" s="23"/>
      <c r="F422" s="23"/>
      <c r="G422" s="23"/>
      <c r="K422" s="23"/>
    </row>
    <row r="423" ht="15.75" customHeight="1">
      <c r="C423" s="23"/>
      <c r="F423" s="23"/>
      <c r="G423" s="23"/>
      <c r="K423" s="23"/>
    </row>
    <row r="424" ht="15.75" customHeight="1">
      <c r="C424" s="23"/>
      <c r="F424" s="23"/>
      <c r="G424" s="23"/>
      <c r="K424" s="23"/>
    </row>
    <row r="425" ht="15.75" customHeight="1">
      <c r="C425" s="23"/>
      <c r="F425" s="23"/>
      <c r="G425" s="23"/>
      <c r="K425" s="23"/>
    </row>
    <row r="426" ht="15.75" customHeight="1">
      <c r="C426" s="23"/>
      <c r="F426" s="23"/>
      <c r="G426" s="23"/>
      <c r="K426" s="23"/>
    </row>
    <row r="427" ht="15.75" customHeight="1">
      <c r="C427" s="23"/>
      <c r="F427" s="23"/>
      <c r="G427" s="23"/>
      <c r="K427" s="23"/>
    </row>
    <row r="428" ht="15.75" customHeight="1">
      <c r="C428" s="23"/>
      <c r="F428" s="23"/>
      <c r="G428" s="23"/>
      <c r="K428" s="23"/>
    </row>
    <row r="429" ht="15.75" customHeight="1">
      <c r="C429" s="23"/>
      <c r="F429" s="23"/>
      <c r="G429" s="23"/>
      <c r="K429" s="23"/>
    </row>
    <row r="430" ht="15.75" customHeight="1">
      <c r="C430" s="23"/>
      <c r="F430" s="23"/>
      <c r="G430" s="23"/>
      <c r="K430" s="23"/>
    </row>
    <row r="431" ht="15.75" customHeight="1">
      <c r="C431" s="23"/>
      <c r="F431" s="23"/>
      <c r="G431" s="23"/>
      <c r="K431" s="23"/>
    </row>
    <row r="432" ht="15.75" customHeight="1">
      <c r="C432" s="23"/>
      <c r="F432" s="23"/>
      <c r="G432" s="23"/>
      <c r="K432" s="23"/>
    </row>
    <row r="433" ht="15.75" customHeight="1">
      <c r="C433" s="23"/>
      <c r="F433" s="23"/>
      <c r="G433" s="23"/>
      <c r="K433" s="23"/>
    </row>
    <row r="434" ht="15.75" customHeight="1">
      <c r="C434" s="23"/>
      <c r="F434" s="23"/>
      <c r="G434" s="23"/>
      <c r="K434" s="23"/>
    </row>
    <row r="435" ht="15.75" customHeight="1">
      <c r="C435" s="23"/>
      <c r="F435" s="23"/>
      <c r="G435" s="23"/>
      <c r="K435" s="23"/>
    </row>
    <row r="436" ht="15.75" customHeight="1">
      <c r="C436" s="23"/>
      <c r="F436" s="23"/>
      <c r="G436" s="23"/>
      <c r="K436" s="23"/>
    </row>
    <row r="437" ht="15.75" customHeight="1">
      <c r="C437" s="23"/>
      <c r="F437" s="23"/>
      <c r="G437" s="23"/>
      <c r="K437" s="23"/>
    </row>
    <row r="438" ht="15.75" customHeight="1">
      <c r="C438" s="23"/>
      <c r="F438" s="23"/>
      <c r="G438" s="23"/>
      <c r="K438" s="23"/>
    </row>
    <row r="439" ht="15.75" customHeight="1">
      <c r="C439" s="23"/>
      <c r="F439" s="23"/>
      <c r="G439" s="23"/>
      <c r="K439" s="23"/>
    </row>
    <row r="440" ht="15.75" customHeight="1">
      <c r="C440" s="23"/>
      <c r="F440" s="23"/>
      <c r="G440" s="23"/>
      <c r="K440" s="23"/>
    </row>
    <row r="441" ht="15.75" customHeight="1">
      <c r="C441" s="23"/>
      <c r="F441" s="23"/>
      <c r="G441" s="23"/>
      <c r="K441" s="23"/>
    </row>
    <row r="442" ht="15.75" customHeight="1">
      <c r="C442" s="23"/>
      <c r="F442" s="23"/>
      <c r="G442" s="23"/>
      <c r="K442" s="23"/>
    </row>
    <row r="443" ht="15.75" customHeight="1">
      <c r="C443" s="23"/>
      <c r="F443" s="23"/>
      <c r="G443" s="23"/>
      <c r="K443" s="23"/>
    </row>
    <row r="444" ht="15.75" customHeight="1">
      <c r="C444" s="23"/>
      <c r="F444" s="23"/>
      <c r="G444" s="23"/>
      <c r="K444" s="23"/>
    </row>
    <row r="445" ht="15.75" customHeight="1">
      <c r="C445" s="23"/>
      <c r="F445" s="23"/>
      <c r="G445" s="23"/>
      <c r="K445" s="23"/>
    </row>
    <row r="446" ht="15.75" customHeight="1">
      <c r="C446" s="23"/>
      <c r="F446" s="23"/>
      <c r="G446" s="23"/>
      <c r="K446" s="23"/>
    </row>
    <row r="447" ht="15.75" customHeight="1">
      <c r="C447" s="23"/>
      <c r="F447" s="23"/>
      <c r="G447" s="23"/>
      <c r="K447" s="23"/>
    </row>
    <row r="448" ht="15.75" customHeight="1">
      <c r="C448" s="23"/>
      <c r="F448" s="23"/>
      <c r="G448" s="23"/>
      <c r="K448" s="23"/>
    </row>
    <row r="449" ht="15.75" customHeight="1">
      <c r="C449" s="23"/>
      <c r="F449" s="23"/>
      <c r="G449" s="23"/>
      <c r="K449" s="23"/>
    </row>
    <row r="450" ht="15.75" customHeight="1">
      <c r="C450" s="23"/>
      <c r="F450" s="23"/>
      <c r="G450" s="23"/>
      <c r="K450" s="23"/>
    </row>
    <row r="451" ht="15.75" customHeight="1">
      <c r="C451" s="23"/>
      <c r="F451" s="23"/>
      <c r="G451" s="23"/>
      <c r="K451" s="23"/>
    </row>
    <row r="452" ht="15.75" customHeight="1">
      <c r="C452" s="23"/>
      <c r="F452" s="23"/>
      <c r="G452" s="23"/>
      <c r="K452" s="23"/>
    </row>
    <row r="453" ht="15.75" customHeight="1">
      <c r="C453" s="23"/>
      <c r="F453" s="23"/>
      <c r="G453" s="23"/>
      <c r="K453" s="23"/>
    </row>
    <row r="454" ht="15.75" customHeight="1">
      <c r="C454" s="23"/>
      <c r="F454" s="23"/>
      <c r="G454" s="23"/>
      <c r="K454" s="23"/>
    </row>
    <row r="455" ht="15.75" customHeight="1">
      <c r="C455" s="23"/>
      <c r="F455" s="23"/>
      <c r="G455" s="23"/>
      <c r="K455" s="23"/>
    </row>
    <row r="456" ht="15.75" customHeight="1">
      <c r="C456" s="23"/>
      <c r="F456" s="23"/>
      <c r="G456" s="23"/>
      <c r="K456" s="23"/>
    </row>
    <row r="457" ht="15.75" customHeight="1">
      <c r="C457" s="23"/>
      <c r="F457" s="23"/>
      <c r="G457" s="23"/>
      <c r="K457" s="23"/>
    </row>
    <row r="458" ht="15.75" customHeight="1">
      <c r="C458" s="23"/>
      <c r="F458" s="23"/>
      <c r="G458" s="23"/>
      <c r="K458" s="23"/>
    </row>
    <row r="459" ht="15.75" customHeight="1">
      <c r="C459" s="23"/>
      <c r="F459" s="23"/>
      <c r="G459" s="23"/>
      <c r="K459" s="23"/>
    </row>
    <row r="460" ht="15.75" customHeight="1">
      <c r="C460" s="23"/>
      <c r="F460" s="23"/>
      <c r="G460" s="23"/>
      <c r="K460" s="23"/>
    </row>
    <row r="461" ht="15.75" customHeight="1">
      <c r="C461" s="23"/>
      <c r="F461" s="23"/>
      <c r="G461" s="23"/>
      <c r="K461" s="23"/>
    </row>
    <row r="462" ht="15.75" customHeight="1">
      <c r="C462" s="23"/>
      <c r="F462" s="23"/>
      <c r="G462" s="23"/>
      <c r="K462" s="23"/>
    </row>
    <row r="463" ht="15.75" customHeight="1">
      <c r="C463" s="23"/>
      <c r="F463" s="23"/>
      <c r="G463" s="23"/>
      <c r="K463" s="23"/>
    </row>
    <row r="464" ht="15.75" customHeight="1">
      <c r="C464" s="23"/>
      <c r="F464" s="23"/>
      <c r="G464" s="23"/>
      <c r="K464" s="23"/>
    </row>
    <row r="465" ht="15.75" customHeight="1">
      <c r="C465" s="23"/>
      <c r="F465" s="23"/>
      <c r="G465" s="23"/>
      <c r="K465" s="23"/>
    </row>
    <row r="466" ht="15.75" customHeight="1">
      <c r="C466" s="23"/>
      <c r="F466" s="23"/>
      <c r="G466" s="23"/>
      <c r="K466" s="23"/>
    </row>
    <row r="467" ht="15.75" customHeight="1">
      <c r="C467" s="23"/>
      <c r="F467" s="23"/>
      <c r="G467" s="23"/>
      <c r="K467" s="23"/>
    </row>
    <row r="468" ht="15.75" customHeight="1">
      <c r="C468" s="23"/>
      <c r="F468" s="23"/>
      <c r="G468" s="23"/>
      <c r="K468" s="23"/>
    </row>
    <row r="469" ht="15.75" customHeight="1">
      <c r="C469" s="23"/>
      <c r="F469" s="23"/>
      <c r="G469" s="23"/>
      <c r="K469" s="23"/>
    </row>
    <row r="470" ht="15.75" customHeight="1">
      <c r="C470" s="23"/>
      <c r="F470" s="23"/>
      <c r="G470" s="23"/>
      <c r="K470" s="23"/>
    </row>
    <row r="471" ht="15.75" customHeight="1">
      <c r="C471" s="23"/>
      <c r="F471" s="23"/>
      <c r="G471" s="23"/>
      <c r="K471" s="23"/>
    </row>
    <row r="472" ht="15.75" customHeight="1">
      <c r="C472" s="23"/>
      <c r="F472" s="23"/>
      <c r="G472" s="23"/>
      <c r="K472" s="23"/>
    </row>
    <row r="473" ht="15.75" customHeight="1">
      <c r="C473" s="23"/>
      <c r="F473" s="23"/>
      <c r="G473" s="23"/>
      <c r="K473" s="23"/>
    </row>
    <row r="474" ht="15.75" customHeight="1">
      <c r="C474" s="23"/>
      <c r="F474" s="23"/>
      <c r="G474" s="23"/>
      <c r="K474" s="23"/>
    </row>
    <row r="475" ht="15.75" customHeight="1">
      <c r="C475" s="23"/>
      <c r="F475" s="23"/>
      <c r="G475" s="23"/>
      <c r="K475" s="23"/>
    </row>
    <row r="476" ht="15.75" customHeight="1">
      <c r="C476" s="23"/>
      <c r="F476" s="23"/>
      <c r="G476" s="23"/>
      <c r="K476" s="23"/>
    </row>
    <row r="477" ht="15.75" customHeight="1">
      <c r="C477" s="23"/>
      <c r="F477" s="23"/>
      <c r="G477" s="23"/>
      <c r="K477" s="23"/>
    </row>
    <row r="478" ht="15.75" customHeight="1">
      <c r="C478" s="23"/>
      <c r="F478" s="23"/>
      <c r="G478" s="23"/>
      <c r="K478" s="23"/>
    </row>
    <row r="479" ht="15.75" customHeight="1">
      <c r="C479" s="23"/>
      <c r="F479" s="23"/>
      <c r="G479" s="23"/>
      <c r="K479" s="23"/>
    </row>
    <row r="480" ht="15.75" customHeight="1">
      <c r="C480" s="23"/>
      <c r="F480" s="23"/>
      <c r="G480" s="23"/>
      <c r="K480" s="23"/>
    </row>
    <row r="481" ht="15.75" customHeight="1">
      <c r="C481" s="23"/>
      <c r="F481" s="23"/>
      <c r="G481" s="23"/>
      <c r="K481" s="23"/>
    </row>
    <row r="482" ht="15.75" customHeight="1">
      <c r="C482" s="23"/>
      <c r="F482" s="23"/>
      <c r="G482" s="23"/>
      <c r="K482" s="23"/>
    </row>
    <row r="483" ht="15.75" customHeight="1">
      <c r="C483" s="23"/>
      <c r="F483" s="23"/>
      <c r="G483" s="23"/>
      <c r="K483" s="23"/>
    </row>
    <row r="484" ht="15.75" customHeight="1">
      <c r="C484" s="23"/>
      <c r="F484" s="23"/>
      <c r="G484" s="23"/>
      <c r="K484" s="23"/>
    </row>
    <row r="485" ht="15.75" customHeight="1">
      <c r="C485" s="23"/>
      <c r="F485" s="23"/>
      <c r="G485" s="23"/>
      <c r="K485" s="23"/>
    </row>
    <row r="486" ht="15.75" customHeight="1">
      <c r="C486" s="23"/>
      <c r="F486" s="23"/>
      <c r="G486" s="23"/>
      <c r="K486" s="23"/>
    </row>
    <row r="487" ht="15.75" customHeight="1">
      <c r="C487" s="23"/>
      <c r="F487" s="23"/>
      <c r="G487" s="23"/>
      <c r="K487" s="23"/>
    </row>
    <row r="488" ht="15.75" customHeight="1">
      <c r="C488" s="23"/>
      <c r="F488" s="23"/>
      <c r="G488" s="23"/>
      <c r="K488" s="23"/>
    </row>
    <row r="489" ht="15.75" customHeight="1">
      <c r="C489" s="23"/>
      <c r="F489" s="23"/>
      <c r="G489" s="23"/>
      <c r="K489" s="23"/>
    </row>
    <row r="490" ht="15.75" customHeight="1">
      <c r="C490" s="23"/>
      <c r="F490" s="23"/>
      <c r="G490" s="23"/>
      <c r="K490" s="23"/>
    </row>
    <row r="491" ht="15.75" customHeight="1">
      <c r="C491" s="23"/>
      <c r="F491" s="23"/>
      <c r="G491" s="23"/>
      <c r="K491" s="23"/>
    </row>
    <row r="492" ht="15.75" customHeight="1">
      <c r="C492" s="23"/>
      <c r="F492" s="23"/>
      <c r="G492" s="23"/>
      <c r="K492" s="23"/>
    </row>
    <row r="493" ht="15.75" customHeight="1">
      <c r="C493" s="23"/>
      <c r="F493" s="23"/>
      <c r="G493" s="23"/>
      <c r="K493" s="23"/>
    </row>
    <row r="494" ht="15.75" customHeight="1">
      <c r="C494" s="23"/>
      <c r="F494" s="23"/>
      <c r="G494" s="23"/>
      <c r="K494" s="23"/>
    </row>
    <row r="495" ht="15.75" customHeight="1">
      <c r="C495" s="23"/>
      <c r="F495" s="23"/>
      <c r="G495" s="23"/>
      <c r="K495" s="23"/>
    </row>
    <row r="496" ht="15.75" customHeight="1">
      <c r="C496" s="23"/>
      <c r="F496" s="23"/>
      <c r="G496" s="23"/>
      <c r="K496" s="23"/>
    </row>
    <row r="497" ht="15.75" customHeight="1">
      <c r="C497" s="23"/>
      <c r="F497" s="23"/>
      <c r="G497" s="23"/>
      <c r="K497" s="23"/>
    </row>
    <row r="498" ht="15.75" customHeight="1">
      <c r="C498" s="23"/>
      <c r="F498" s="23"/>
      <c r="G498" s="23"/>
      <c r="K498" s="23"/>
    </row>
    <row r="499" ht="15.75" customHeight="1">
      <c r="C499" s="23"/>
      <c r="F499" s="23"/>
      <c r="G499" s="23"/>
      <c r="K499" s="23"/>
    </row>
    <row r="500" ht="15.75" customHeight="1">
      <c r="C500" s="23"/>
      <c r="F500" s="23"/>
      <c r="G500" s="23"/>
      <c r="K500" s="23"/>
    </row>
    <row r="501" ht="15.75" customHeight="1">
      <c r="C501" s="23"/>
      <c r="F501" s="23"/>
      <c r="G501" s="23"/>
      <c r="K501" s="23"/>
    </row>
    <row r="502" ht="15.75" customHeight="1">
      <c r="C502" s="23"/>
      <c r="F502" s="23"/>
      <c r="G502" s="23"/>
      <c r="K502" s="23"/>
    </row>
    <row r="503" ht="15.75" customHeight="1">
      <c r="C503" s="23"/>
      <c r="F503" s="23"/>
      <c r="G503" s="23"/>
      <c r="K503" s="23"/>
    </row>
    <row r="504" ht="15.75" customHeight="1">
      <c r="C504" s="23"/>
      <c r="F504" s="23"/>
      <c r="G504" s="23"/>
      <c r="K504" s="23"/>
    </row>
    <row r="505" ht="15.75" customHeight="1">
      <c r="C505" s="23"/>
      <c r="F505" s="23"/>
      <c r="G505" s="23"/>
      <c r="K505" s="23"/>
    </row>
    <row r="506" ht="15.75" customHeight="1">
      <c r="C506" s="23"/>
      <c r="F506" s="23"/>
      <c r="G506" s="23"/>
      <c r="K506" s="23"/>
    </row>
    <row r="507" ht="15.75" customHeight="1">
      <c r="C507" s="23"/>
      <c r="F507" s="23"/>
      <c r="G507" s="23"/>
      <c r="K507" s="23"/>
    </row>
    <row r="508" ht="15.75" customHeight="1">
      <c r="C508" s="23"/>
      <c r="F508" s="23"/>
      <c r="G508" s="23"/>
      <c r="K508" s="23"/>
    </row>
    <row r="509" ht="15.75" customHeight="1">
      <c r="C509" s="23"/>
      <c r="F509" s="23"/>
      <c r="G509" s="23"/>
      <c r="K509" s="23"/>
    </row>
    <row r="510" ht="15.75" customHeight="1">
      <c r="C510" s="23"/>
      <c r="F510" s="23"/>
      <c r="G510" s="23"/>
      <c r="K510" s="23"/>
    </row>
    <row r="511" ht="15.75" customHeight="1">
      <c r="C511" s="23"/>
      <c r="F511" s="23"/>
      <c r="G511" s="23"/>
      <c r="K511" s="23"/>
    </row>
    <row r="512" ht="15.75" customHeight="1">
      <c r="C512" s="23"/>
      <c r="F512" s="23"/>
      <c r="G512" s="23"/>
      <c r="K512" s="23"/>
    </row>
    <row r="513" ht="15.75" customHeight="1">
      <c r="C513" s="23"/>
      <c r="F513" s="23"/>
      <c r="G513" s="23"/>
      <c r="K513" s="23"/>
    </row>
    <row r="514" ht="15.75" customHeight="1">
      <c r="C514" s="23"/>
      <c r="F514" s="23"/>
      <c r="G514" s="23"/>
      <c r="K514" s="23"/>
    </row>
    <row r="515" ht="15.75" customHeight="1">
      <c r="C515" s="23"/>
      <c r="F515" s="23"/>
      <c r="G515" s="23"/>
      <c r="K515" s="23"/>
    </row>
    <row r="516" ht="15.75" customHeight="1">
      <c r="C516" s="23"/>
      <c r="F516" s="23"/>
      <c r="G516" s="23"/>
      <c r="K516" s="23"/>
    </row>
    <row r="517" ht="15.75" customHeight="1">
      <c r="C517" s="23"/>
      <c r="F517" s="23"/>
      <c r="G517" s="23"/>
      <c r="K517" s="23"/>
    </row>
    <row r="518" ht="15.75" customHeight="1">
      <c r="C518" s="23"/>
      <c r="F518" s="23"/>
      <c r="G518" s="23"/>
      <c r="K518" s="23"/>
    </row>
    <row r="519" ht="15.75" customHeight="1">
      <c r="C519" s="23"/>
      <c r="F519" s="23"/>
      <c r="G519" s="23"/>
      <c r="K519" s="23"/>
    </row>
    <row r="520" ht="15.75" customHeight="1">
      <c r="C520" s="23"/>
      <c r="F520" s="23"/>
      <c r="G520" s="23"/>
      <c r="K520" s="23"/>
    </row>
    <row r="521" ht="15.75" customHeight="1">
      <c r="C521" s="23"/>
      <c r="F521" s="23"/>
      <c r="G521" s="23"/>
      <c r="K521" s="23"/>
    </row>
    <row r="522" ht="15.75" customHeight="1">
      <c r="C522" s="23"/>
      <c r="F522" s="23"/>
      <c r="G522" s="23"/>
      <c r="K522" s="23"/>
    </row>
    <row r="523" ht="15.75" customHeight="1">
      <c r="C523" s="23"/>
      <c r="F523" s="23"/>
      <c r="G523" s="23"/>
      <c r="K523" s="23"/>
    </row>
    <row r="524" ht="15.75" customHeight="1">
      <c r="C524" s="23"/>
      <c r="F524" s="23"/>
      <c r="G524" s="23"/>
      <c r="K524" s="23"/>
    </row>
    <row r="525" ht="15.75" customHeight="1">
      <c r="C525" s="23"/>
      <c r="F525" s="23"/>
      <c r="G525" s="23"/>
      <c r="K525" s="23"/>
    </row>
    <row r="526" ht="15.75" customHeight="1">
      <c r="C526" s="23"/>
      <c r="F526" s="23"/>
      <c r="G526" s="23"/>
      <c r="K526" s="23"/>
    </row>
    <row r="527" ht="15.75" customHeight="1">
      <c r="C527" s="23"/>
      <c r="F527" s="23"/>
      <c r="G527" s="23"/>
      <c r="K527" s="23"/>
    </row>
    <row r="528" ht="15.75" customHeight="1">
      <c r="C528" s="23"/>
      <c r="F528" s="23"/>
      <c r="G528" s="23"/>
      <c r="K528" s="23"/>
    </row>
    <row r="529" ht="15.75" customHeight="1">
      <c r="C529" s="23"/>
      <c r="F529" s="23"/>
      <c r="G529" s="23"/>
      <c r="K529" s="23"/>
    </row>
    <row r="530" ht="15.75" customHeight="1">
      <c r="C530" s="23"/>
      <c r="F530" s="23"/>
      <c r="G530" s="23"/>
      <c r="K530" s="23"/>
    </row>
    <row r="531" ht="15.75" customHeight="1">
      <c r="C531" s="23"/>
      <c r="F531" s="23"/>
      <c r="G531" s="23"/>
      <c r="K531" s="23"/>
    </row>
    <row r="532" ht="15.75" customHeight="1">
      <c r="C532" s="23"/>
      <c r="F532" s="23"/>
      <c r="G532" s="23"/>
      <c r="K532" s="23"/>
    </row>
    <row r="533" ht="15.75" customHeight="1">
      <c r="C533" s="23"/>
      <c r="F533" s="23"/>
      <c r="G533" s="23"/>
      <c r="K533" s="23"/>
    </row>
    <row r="534" ht="15.75" customHeight="1">
      <c r="C534" s="23"/>
      <c r="F534" s="23"/>
      <c r="G534" s="23"/>
      <c r="K534" s="23"/>
    </row>
    <row r="535" ht="15.75" customHeight="1">
      <c r="C535" s="23"/>
      <c r="F535" s="23"/>
      <c r="G535" s="23"/>
      <c r="K535" s="23"/>
    </row>
    <row r="536" ht="15.75" customHeight="1">
      <c r="C536" s="23"/>
      <c r="F536" s="23"/>
      <c r="G536" s="23"/>
      <c r="K536" s="23"/>
    </row>
    <row r="537" ht="15.75" customHeight="1">
      <c r="C537" s="23"/>
      <c r="F537" s="23"/>
      <c r="G537" s="23"/>
      <c r="K537" s="23"/>
    </row>
    <row r="538" ht="15.75" customHeight="1">
      <c r="C538" s="23"/>
      <c r="F538" s="23"/>
      <c r="G538" s="23"/>
      <c r="K538" s="23"/>
    </row>
    <row r="539" ht="15.75" customHeight="1">
      <c r="C539" s="23"/>
      <c r="F539" s="23"/>
      <c r="G539" s="23"/>
      <c r="K539" s="23"/>
    </row>
    <row r="540" ht="15.75" customHeight="1">
      <c r="C540" s="23"/>
      <c r="F540" s="23"/>
      <c r="G540" s="23"/>
      <c r="K540" s="23"/>
    </row>
    <row r="541" ht="15.75" customHeight="1">
      <c r="C541" s="23"/>
      <c r="F541" s="23"/>
      <c r="G541" s="23"/>
      <c r="K541" s="23"/>
    </row>
    <row r="542" ht="15.75" customHeight="1">
      <c r="C542" s="23"/>
      <c r="F542" s="23"/>
      <c r="G542" s="23"/>
      <c r="K542" s="23"/>
    </row>
    <row r="543" ht="15.75" customHeight="1">
      <c r="C543" s="23"/>
      <c r="F543" s="23"/>
      <c r="G543" s="23"/>
      <c r="K543" s="23"/>
    </row>
    <row r="544" ht="15.75" customHeight="1">
      <c r="C544" s="23"/>
      <c r="F544" s="23"/>
      <c r="G544" s="23"/>
      <c r="K544" s="23"/>
    </row>
    <row r="545" ht="15.75" customHeight="1">
      <c r="C545" s="23"/>
      <c r="F545" s="23"/>
      <c r="G545" s="23"/>
      <c r="K545" s="23"/>
    </row>
    <row r="546" ht="15.75" customHeight="1">
      <c r="C546" s="23"/>
      <c r="F546" s="23"/>
      <c r="G546" s="23"/>
      <c r="K546" s="23"/>
    </row>
    <row r="547" ht="15.75" customHeight="1">
      <c r="C547" s="23"/>
      <c r="F547" s="23"/>
      <c r="G547" s="23"/>
      <c r="K547" s="23"/>
    </row>
    <row r="548" ht="15.75" customHeight="1">
      <c r="C548" s="23"/>
      <c r="F548" s="23"/>
      <c r="G548" s="23"/>
      <c r="K548" s="23"/>
    </row>
    <row r="549" ht="15.75" customHeight="1">
      <c r="C549" s="23"/>
      <c r="F549" s="23"/>
      <c r="G549" s="23"/>
      <c r="K549" s="23"/>
    </row>
    <row r="550" ht="15.75" customHeight="1">
      <c r="C550" s="23"/>
      <c r="F550" s="23"/>
      <c r="G550" s="23"/>
      <c r="K550" s="23"/>
    </row>
    <row r="551" ht="15.75" customHeight="1">
      <c r="C551" s="23"/>
      <c r="F551" s="23"/>
      <c r="G551" s="23"/>
      <c r="K551" s="23"/>
    </row>
    <row r="552" ht="15.75" customHeight="1">
      <c r="C552" s="23"/>
      <c r="F552" s="23"/>
      <c r="G552" s="23"/>
      <c r="K552" s="23"/>
    </row>
    <row r="553" ht="15.75" customHeight="1">
      <c r="C553" s="23"/>
      <c r="F553" s="23"/>
      <c r="G553" s="23"/>
      <c r="K553" s="23"/>
    </row>
    <row r="554" ht="15.75" customHeight="1">
      <c r="C554" s="23"/>
      <c r="F554" s="23"/>
      <c r="G554" s="23"/>
      <c r="K554" s="23"/>
    </row>
    <row r="555" ht="15.75" customHeight="1">
      <c r="C555" s="23"/>
      <c r="F555" s="23"/>
      <c r="G555" s="23"/>
      <c r="K555" s="23"/>
    </row>
    <row r="556" ht="15.75" customHeight="1">
      <c r="C556" s="23"/>
      <c r="F556" s="23"/>
      <c r="G556" s="23"/>
      <c r="K556" s="23"/>
    </row>
    <row r="557" ht="15.75" customHeight="1">
      <c r="C557" s="23"/>
      <c r="F557" s="23"/>
      <c r="G557" s="23"/>
      <c r="K557" s="23"/>
    </row>
    <row r="558" ht="15.75" customHeight="1">
      <c r="C558" s="23"/>
      <c r="F558" s="23"/>
      <c r="G558" s="23"/>
      <c r="K558" s="23"/>
    </row>
    <row r="559" ht="15.75" customHeight="1">
      <c r="C559" s="23"/>
      <c r="F559" s="23"/>
      <c r="G559" s="23"/>
      <c r="K559" s="23"/>
    </row>
    <row r="560" ht="15.75" customHeight="1">
      <c r="C560" s="23"/>
      <c r="F560" s="23"/>
      <c r="G560" s="23"/>
      <c r="K560" s="23"/>
    </row>
    <row r="561" ht="15.75" customHeight="1">
      <c r="C561" s="23"/>
      <c r="F561" s="23"/>
      <c r="G561" s="23"/>
      <c r="K561" s="23"/>
    </row>
    <row r="562" ht="15.75" customHeight="1">
      <c r="C562" s="23"/>
      <c r="F562" s="23"/>
      <c r="G562" s="23"/>
      <c r="K562" s="23"/>
    </row>
    <row r="563" ht="15.75" customHeight="1">
      <c r="C563" s="23"/>
      <c r="F563" s="23"/>
      <c r="G563" s="23"/>
      <c r="K563" s="23"/>
    </row>
    <row r="564" ht="15.75" customHeight="1">
      <c r="C564" s="23"/>
      <c r="F564" s="23"/>
      <c r="G564" s="23"/>
      <c r="K564" s="23"/>
    </row>
    <row r="565" ht="15.75" customHeight="1">
      <c r="C565" s="23"/>
      <c r="F565" s="23"/>
      <c r="G565" s="23"/>
      <c r="K565" s="23"/>
    </row>
    <row r="566" ht="15.75" customHeight="1">
      <c r="C566" s="23"/>
      <c r="F566" s="23"/>
      <c r="G566" s="23"/>
      <c r="K566" s="23"/>
    </row>
    <row r="567" ht="15.75" customHeight="1">
      <c r="C567" s="23"/>
      <c r="F567" s="23"/>
      <c r="G567" s="23"/>
      <c r="K567" s="23"/>
    </row>
    <row r="568" ht="15.75" customHeight="1">
      <c r="C568" s="23"/>
      <c r="F568" s="23"/>
      <c r="G568" s="23"/>
      <c r="K568" s="23"/>
    </row>
    <row r="569" ht="15.75" customHeight="1">
      <c r="C569" s="23"/>
      <c r="F569" s="23"/>
      <c r="G569" s="23"/>
      <c r="K569" s="23"/>
    </row>
    <row r="570" ht="15.75" customHeight="1">
      <c r="C570" s="23"/>
      <c r="F570" s="23"/>
      <c r="G570" s="23"/>
      <c r="K570" s="23"/>
    </row>
    <row r="571" ht="15.75" customHeight="1">
      <c r="C571" s="23"/>
      <c r="F571" s="23"/>
      <c r="G571" s="23"/>
      <c r="K571" s="23"/>
    </row>
    <row r="572" ht="15.75" customHeight="1">
      <c r="C572" s="23"/>
      <c r="F572" s="23"/>
      <c r="G572" s="23"/>
      <c r="K572" s="23"/>
    </row>
    <row r="573" ht="15.75" customHeight="1">
      <c r="C573" s="23"/>
      <c r="F573" s="23"/>
      <c r="G573" s="23"/>
      <c r="K573" s="23"/>
    </row>
    <row r="574" ht="15.75" customHeight="1">
      <c r="C574" s="23"/>
      <c r="F574" s="23"/>
      <c r="G574" s="23"/>
      <c r="K574" s="23"/>
    </row>
    <row r="575" ht="15.75" customHeight="1">
      <c r="C575" s="23"/>
      <c r="F575" s="23"/>
      <c r="G575" s="23"/>
      <c r="K575" s="23"/>
    </row>
    <row r="576" ht="15.75" customHeight="1">
      <c r="C576" s="23"/>
      <c r="F576" s="23"/>
      <c r="G576" s="23"/>
      <c r="K576" s="23"/>
    </row>
    <row r="577" ht="15.75" customHeight="1">
      <c r="C577" s="23"/>
      <c r="F577" s="23"/>
      <c r="G577" s="23"/>
      <c r="K577" s="23"/>
    </row>
    <row r="578" ht="15.75" customHeight="1">
      <c r="C578" s="23"/>
      <c r="F578" s="23"/>
      <c r="G578" s="23"/>
      <c r="K578" s="23"/>
    </row>
    <row r="579" ht="15.75" customHeight="1">
      <c r="C579" s="23"/>
      <c r="F579" s="23"/>
      <c r="G579" s="23"/>
      <c r="K579" s="23"/>
    </row>
    <row r="580" ht="15.75" customHeight="1">
      <c r="C580" s="23"/>
      <c r="F580" s="23"/>
      <c r="G580" s="23"/>
      <c r="K580" s="23"/>
    </row>
    <row r="581" ht="15.75" customHeight="1">
      <c r="C581" s="23"/>
      <c r="F581" s="23"/>
      <c r="G581" s="23"/>
      <c r="K581" s="23"/>
    </row>
    <row r="582" ht="15.75" customHeight="1">
      <c r="C582" s="23"/>
      <c r="F582" s="23"/>
      <c r="G582" s="23"/>
      <c r="K582" s="23"/>
    </row>
    <row r="583" ht="15.75" customHeight="1">
      <c r="C583" s="23"/>
      <c r="F583" s="23"/>
      <c r="G583" s="23"/>
      <c r="K583" s="23"/>
    </row>
    <row r="584" ht="15.75" customHeight="1">
      <c r="C584" s="23"/>
      <c r="F584" s="23"/>
      <c r="G584" s="23"/>
      <c r="K584" s="23"/>
    </row>
    <row r="585" ht="15.75" customHeight="1">
      <c r="C585" s="23"/>
      <c r="F585" s="23"/>
      <c r="G585" s="23"/>
      <c r="K585" s="23"/>
    </row>
    <row r="586" ht="15.75" customHeight="1">
      <c r="C586" s="23"/>
      <c r="F586" s="23"/>
      <c r="G586" s="23"/>
      <c r="K586" s="23"/>
    </row>
    <row r="587" ht="15.75" customHeight="1">
      <c r="C587" s="23"/>
      <c r="F587" s="23"/>
      <c r="G587" s="23"/>
      <c r="K587" s="23"/>
    </row>
    <row r="588" ht="15.75" customHeight="1">
      <c r="C588" s="23"/>
      <c r="F588" s="23"/>
      <c r="G588" s="23"/>
      <c r="K588" s="23"/>
    </row>
    <row r="589" ht="15.75" customHeight="1">
      <c r="C589" s="23"/>
      <c r="F589" s="23"/>
      <c r="G589" s="23"/>
      <c r="K589" s="23"/>
    </row>
    <row r="590" ht="15.75" customHeight="1">
      <c r="C590" s="23"/>
      <c r="F590" s="23"/>
      <c r="G590" s="23"/>
      <c r="K590" s="23"/>
    </row>
    <row r="591" ht="15.75" customHeight="1">
      <c r="C591" s="23"/>
      <c r="F591" s="23"/>
      <c r="G591" s="23"/>
      <c r="K591" s="23"/>
    </row>
    <row r="592" ht="15.75" customHeight="1">
      <c r="C592" s="23"/>
      <c r="F592" s="23"/>
      <c r="G592" s="23"/>
      <c r="K592" s="23"/>
    </row>
    <row r="593" ht="15.75" customHeight="1">
      <c r="C593" s="23"/>
      <c r="F593" s="23"/>
      <c r="G593" s="23"/>
      <c r="K593" s="23"/>
    </row>
    <row r="594" ht="15.75" customHeight="1">
      <c r="C594" s="23"/>
      <c r="F594" s="23"/>
      <c r="G594" s="23"/>
      <c r="K594" s="23"/>
    </row>
    <row r="595" ht="15.75" customHeight="1">
      <c r="C595" s="23"/>
      <c r="F595" s="23"/>
      <c r="G595" s="23"/>
      <c r="K595" s="23"/>
    </row>
    <row r="596" ht="15.75" customHeight="1">
      <c r="C596" s="23"/>
      <c r="F596" s="23"/>
      <c r="G596" s="23"/>
      <c r="K596" s="23"/>
    </row>
    <row r="597" ht="15.75" customHeight="1">
      <c r="C597" s="23"/>
      <c r="F597" s="23"/>
      <c r="G597" s="23"/>
      <c r="K597" s="23"/>
    </row>
    <row r="598" ht="15.75" customHeight="1">
      <c r="C598" s="23"/>
      <c r="F598" s="23"/>
      <c r="G598" s="23"/>
      <c r="K598" s="23"/>
    </row>
    <row r="599" ht="15.75" customHeight="1">
      <c r="C599" s="23"/>
      <c r="F599" s="23"/>
      <c r="G599" s="23"/>
      <c r="K599" s="23"/>
    </row>
    <row r="600" ht="15.75" customHeight="1">
      <c r="C600" s="23"/>
      <c r="F600" s="23"/>
      <c r="G600" s="23"/>
      <c r="K600" s="23"/>
    </row>
    <row r="601" ht="15.75" customHeight="1">
      <c r="C601" s="23"/>
      <c r="F601" s="23"/>
      <c r="G601" s="23"/>
      <c r="K601" s="23"/>
    </row>
    <row r="602" ht="15.75" customHeight="1">
      <c r="C602" s="23"/>
      <c r="F602" s="23"/>
      <c r="G602" s="23"/>
      <c r="K602" s="23"/>
    </row>
    <row r="603" ht="15.75" customHeight="1">
      <c r="C603" s="23"/>
      <c r="F603" s="23"/>
      <c r="G603" s="23"/>
      <c r="K603" s="23"/>
    </row>
    <row r="604" ht="15.75" customHeight="1">
      <c r="C604" s="23"/>
      <c r="F604" s="23"/>
      <c r="G604" s="23"/>
      <c r="K604" s="23"/>
    </row>
    <row r="605" ht="15.75" customHeight="1">
      <c r="C605" s="23"/>
      <c r="F605" s="23"/>
      <c r="G605" s="23"/>
      <c r="K605" s="23"/>
    </row>
    <row r="606" ht="15.75" customHeight="1">
      <c r="C606" s="23"/>
      <c r="F606" s="23"/>
      <c r="G606" s="23"/>
      <c r="K606" s="23"/>
    </row>
    <row r="607" ht="15.75" customHeight="1">
      <c r="C607" s="23"/>
      <c r="F607" s="23"/>
      <c r="G607" s="23"/>
      <c r="K607" s="23"/>
    </row>
    <row r="608" ht="15.75" customHeight="1">
      <c r="C608" s="23"/>
      <c r="F608" s="23"/>
      <c r="G608" s="23"/>
      <c r="K608" s="23"/>
    </row>
    <row r="609" ht="15.75" customHeight="1">
      <c r="C609" s="23"/>
      <c r="F609" s="23"/>
      <c r="G609" s="23"/>
      <c r="K609" s="23"/>
    </row>
    <row r="610" ht="15.75" customHeight="1">
      <c r="C610" s="23"/>
      <c r="F610" s="23"/>
      <c r="G610" s="23"/>
      <c r="K610" s="23"/>
    </row>
    <row r="611" ht="15.75" customHeight="1">
      <c r="C611" s="23"/>
      <c r="F611" s="23"/>
      <c r="G611" s="23"/>
      <c r="K611" s="23"/>
    </row>
    <row r="612" ht="15.75" customHeight="1">
      <c r="C612" s="23"/>
      <c r="F612" s="23"/>
      <c r="G612" s="23"/>
      <c r="K612" s="23"/>
    </row>
    <row r="613" ht="15.75" customHeight="1">
      <c r="C613" s="23"/>
      <c r="F613" s="23"/>
      <c r="G613" s="23"/>
      <c r="K613" s="23"/>
    </row>
    <row r="614" ht="15.75" customHeight="1">
      <c r="C614" s="23"/>
      <c r="F614" s="23"/>
      <c r="G614" s="23"/>
      <c r="K614" s="23"/>
    </row>
    <row r="615" ht="15.75" customHeight="1">
      <c r="C615" s="23"/>
      <c r="F615" s="23"/>
      <c r="G615" s="23"/>
      <c r="K615" s="23"/>
    </row>
    <row r="616" ht="15.75" customHeight="1">
      <c r="C616" s="23"/>
      <c r="F616" s="23"/>
      <c r="G616" s="23"/>
      <c r="K616" s="23"/>
    </row>
    <row r="617" ht="15.75" customHeight="1">
      <c r="C617" s="23"/>
      <c r="F617" s="23"/>
      <c r="G617" s="23"/>
      <c r="K617" s="23"/>
    </row>
    <row r="618" ht="15.75" customHeight="1">
      <c r="C618" s="23"/>
      <c r="F618" s="23"/>
      <c r="G618" s="23"/>
      <c r="K618" s="23"/>
    </row>
    <row r="619" ht="15.75" customHeight="1">
      <c r="C619" s="23"/>
      <c r="F619" s="23"/>
      <c r="G619" s="23"/>
      <c r="K619" s="23"/>
    </row>
    <row r="620" ht="15.75" customHeight="1">
      <c r="C620" s="23"/>
      <c r="F620" s="23"/>
      <c r="G620" s="23"/>
      <c r="K620" s="23"/>
    </row>
    <row r="621" ht="15.75" customHeight="1">
      <c r="C621" s="23"/>
      <c r="F621" s="23"/>
      <c r="G621" s="23"/>
      <c r="K621" s="23"/>
    </row>
    <row r="622" ht="15.75" customHeight="1">
      <c r="C622" s="23"/>
      <c r="F622" s="23"/>
      <c r="G622" s="23"/>
      <c r="K622" s="23"/>
    </row>
    <row r="623" ht="15.75" customHeight="1">
      <c r="C623" s="23"/>
      <c r="F623" s="23"/>
      <c r="G623" s="23"/>
      <c r="K623" s="23"/>
    </row>
    <row r="624" ht="15.75" customHeight="1">
      <c r="C624" s="23"/>
      <c r="F624" s="23"/>
      <c r="G624" s="23"/>
      <c r="K624" s="23"/>
    </row>
    <row r="625" ht="15.75" customHeight="1">
      <c r="C625" s="23"/>
      <c r="F625" s="23"/>
      <c r="G625" s="23"/>
      <c r="K625" s="23"/>
    </row>
    <row r="626" ht="15.75" customHeight="1">
      <c r="C626" s="23"/>
      <c r="F626" s="23"/>
      <c r="G626" s="23"/>
      <c r="K626" s="23"/>
    </row>
    <row r="627" ht="15.75" customHeight="1">
      <c r="C627" s="23"/>
      <c r="F627" s="23"/>
      <c r="G627" s="23"/>
      <c r="K627" s="23"/>
    </row>
    <row r="628" ht="15.75" customHeight="1">
      <c r="C628" s="23"/>
      <c r="F628" s="23"/>
      <c r="G628" s="23"/>
      <c r="K628" s="23"/>
    </row>
    <row r="629" ht="15.75" customHeight="1">
      <c r="C629" s="23"/>
      <c r="F629" s="23"/>
      <c r="G629" s="23"/>
      <c r="K629" s="23"/>
    </row>
    <row r="630" ht="15.75" customHeight="1">
      <c r="C630" s="23"/>
      <c r="F630" s="23"/>
      <c r="G630" s="23"/>
      <c r="K630" s="23"/>
    </row>
    <row r="631" ht="15.75" customHeight="1">
      <c r="C631" s="23"/>
      <c r="F631" s="23"/>
      <c r="G631" s="23"/>
      <c r="K631" s="23"/>
    </row>
    <row r="632" ht="15.75" customHeight="1">
      <c r="C632" s="23"/>
      <c r="F632" s="23"/>
      <c r="G632" s="23"/>
      <c r="K632" s="23"/>
    </row>
    <row r="633" ht="15.75" customHeight="1">
      <c r="C633" s="23"/>
      <c r="F633" s="23"/>
      <c r="G633" s="23"/>
      <c r="K633" s="23"/>
    </row>
    <row r="634" ht="15.75" customHeight="1">
      <c r="C634" s="23"/>
      <c r="F634" s="23"/>
      <c r="G634" s="23"/>
      <c r="K634" s="23"/>
    </row>
    <row r="635" ht="15.75" customHeight="1">
      <c r="C635" s="23"/>
      <c r="F635" s="23"/>
      <c r="G635" s="23"/>
      <c r="K635" s="23"/>
    </row>
    <row r="636" ht="15.75" customHeight="1">
      <c r="C636" s="23"/>
      <c r="F636" s="23"/>
      <c r="G636" s="23"/>
      <c r="K636" s="23"/>
    </row>
    <row r="637" ht="15.75" customHeight="1">
      <c r="C637" s="23"/>
      <c r="F637" s="23"/>
      <c r="G637" s="23"/>
      <c r="K637" s="23"/>
    </row>
    <row r="638" ht="15.75" customHeight="1">
      <c r="C638" s="23"/>
      <c r="F638" s="23"/>
      <c r="G638" s="23"/>
      <c r="K638" s="23"/>
    </row>
    <row r="639" ht="15.75" customHeight="1">
      <c r="C639" s="23"/>
      <c r="F639" s="23"/>
      <c r="G639" s="23"/>
      <c r="K639" s="23"/>
    </row>
    <row r="640" ht="15.75" customHeight="1">
      <c r="C640" s="23"/>
      <c r="F640" s="23"/>
      <c r="G640" s="23"/>
      <c r="K640" s="23"/>
    </row>
    <row r="641" ht="15.75" customHeight="1">
      <c r="C641" s="23"/>
      <c r="F641" s="23"/>
      <c r="G641" s="23"/>
      <c r="K641" s="23"/>
    </row>
    <row r="642" ht="15.75" customHeight="1">
      <c r="C642" s="23"/>
      <c r="F642" s="23"/>
      <c r="G642" s="23"/>
      <c r="K642" s="23"/>
    </row>
    <row r="643" ht="15.75" customHeight="1">
      <c r="C643" s="23"/>
      <c r="F643" s="23"/>
      <c r="G643" s="23"/>
      <c r="K643" s="23"/>
    </row>
    <row r="644" ht="15.75" customHeight="1">
      <c r="C644" s="23"/>
      <c r="F644" s="23"/>
      <c r="G644" s="23"/>
      <c r="K644" s="23"/>
    </row>
    <row r="645" ht="15.75" customHeight="1">
      <c r="C645" s="23"/>
      <c r="F645" s="23"/>
      <c r="G645" s="23"/>
      <c r="K645" s="23"/>
    </row>
    <row r="646" ht="15.75" customHeight="1">
      <c r="C646" s="23"/>
      <c r="F646" s="23"/>
      <c r="G646" s="23"/>
      <c r="K646" s="23"/>
    </row>
    <row r="647" ht="15.75" customHeight="1">
      <c r="C647" s="23"/>
      <c r="F647" s="23"/>
      <c r="G647" s="23"/>
      <c r="K647" s="23"/>
    </row>
    <row r="648" ht="15.75" customHeight="1">
      <c r="C648" s="23"/>
      <c r="F648" s="23"/>
      <c r="G648" s="23"/>
      <c r="K648" s="23"/>
    </row>
    <row r="649" ht="15.75" customHeight="1">
      <c r="C649" s="23"/>
      <c r="F649" s="23"/>
      <c r="G649" s="23"/>
      <c r="K649" s="23"/>
    </row>
    <row r="650" ht="15.75" customHeight="1">
      <c r="C650" s="23"/>
      <c r="F650" s="23"/>
      <c r="G650" s="23"/>
      <c r="K650" s="23"/>
    </row>
    <row r="651" ht="15.75" customHeight="1">
      <c r="C651" s="23"/>
      <c r="F651" s="23"/>
      <c r="G651" s="23"/>
      <c r="K651" s="23"/>
    </row>
    <row r="652" ht="15.75" customHeight="1">
      <c r="C652" s="23"/>
      <c r="F652" s="23"/>
      <c r="G652" s="23"/>
      <c r="K652" s="23"/>
    </row>
    <row r="653" ht="15.75" customHeight="1">
      <c r="C653" s="23"/>
      <c r="F653" s="23"/>
      <c r="G653" s="23"/>
      <c r="K653" s="23"/>
    </row>
    <row r="654" ht="15.75" customHeight="1">
      <c r="C654" s="23"/>
      <c r="F654" s="23"/>
      <c r="G654" s="23"/>
      <c r="K654" s="23"/>
    </row>
    <row r="655" ht="15.75" customHeight="1">
      <c r="C655" s="23"/>
      <c r="F655" s="23"/>
      <c r="G655" s="23"/>
      <c r="K655" s="23"/>
    </row>
    <row r="656" ht="15.75" customHeight="1">
      <c r="C656" s="23"/>
      <c r="F656" s="23"/>
      <c r="G656" s="23"/>
      <c r="K656" s="23"/>
    </row>
    <row r="657" ht="15.75" customHeight="1">
      <c r="C657" s="23"/>
      <c r="F657" s="23"/>
      <c r="G657" s="23"/>
      <c r="K657" s="23"/>
    </row>
    <row r="658" ht="15.75" customHeight="1">
      <c r="C658" s="23"/>
      <c r="F658" s="23"/>
      <c r="G658" s="23"/>
      <c r="K658" s="23"/>
    </row>
    <row r="659" ht="15.75" customHeight="1">
      <c r="C659" s="23"/>
      <c r="F659" s="23"/>
      <c r="G659" s="23"/>
      <c r="K659" s="23"/>
    </row>
    <row r="660" ht="15.75" customHeight="1">
      <c r="C660" s="23"/>
      <c r="F660" s="23"/>
      <c r="G660" s="23"/>
      <c r="K660" s="23"/>
    </row>
    <row r="661" ht="15.75" customHeight="1">
      <c r="C661" s="23"/>
      <c r="F661" s="23"/>
      <c r="G661" s="23"/>
      <c r="K661" s="23"/>
    </row>
    <row r="662" ht="15.75" customHeight="1">
      <c r="C662" s="23"/>
      <c r="F662" s="23"/>
      <c r="G662" s="23"/>
      <c r="K662" s="23"/>
    </row>
    <row r="663" ht="15.75" customHeight="1">
      <c r="C663" s="23"/>
      <c r="F663" s="23"/>
      <c r="G663" s="23"/>
      <c r="K663" s="23"/>
    </row>
    <row r="664" ht="15.75" customHeight="1">
      <c r="C664" s="23"/>
      <c r="F664" s="23"/>
      <c r="G664" s="23"/>
      <c r="K664" s="23"/>
    </row>
    <row r="665" ht="15.75" customHeight="1">
      <c r="C665" s="23"/>
      <c r="F665" s="23"/>
      <c r="G665" s="23"/>
      <c r="K665" s="23"/>
    </row>
    <row r="666" ht="15.75" customHeight="1">
      <c r="C666" s="23"/>
      <c r="F666" s="23"/>
      <c r="G666" s="23"/>
      <c r="K666" s="23"/>
    </row>
    <row r="667" ht="15.75" customHeight="1">
      <c r="C667" s="23"/>
      <c r="F667" s="23"/>
      <c r="G667" s="23"/>
      <c r="K667" s="23"/>
    </row>
    <row r="668" ht="15.75" customHeight="1">
      <c r="C668" s="23"/>
      <c r="F668" s="23"/>
      <c r="G668" s="23"/>
      <c r="K668" s="23"/>
    </row>
    <row r="669" ht="15.75" customHeight="1">
      <c r="C669" s="23"/>
      <c r="F669" s="23"/>
      <c r="G669" s="23"/>
      <c r="K669" s="23"/>
    </row>
    <row r="670" ht="15.75" customHeight="1">
      <c r="C670" s="23"/>
      <c r="F670" s="23"/>
      <c r="G670" s="23"/>
      <c r="K670" s="23"/>
    </row>
    <row r="671" ht="15.75" customHeight="1">
      <c r="C671" s="23"/>
      <c r="F671" s="23"/>
      <c r="G671" s="23"/>
      <c r="K671" s="23"/>
    </row>
    <row r="672" ht="15.75" customHeight="1">
      <c r="C672" s="23"/>
      <c r="F672" s="23"/>
      <c r="G672" s="23"/>
      <c r="K672" s="23"/>
    </row>
    <row r="673" ht="15.75" customHeight="1">
      <c r="C673" s="23"/>
      <c r="F673" s="23"/>
      <c r="G673" s="23"/>
      <c r="K673" s="23"/>
    </row>
    <row r="674" ht="15.75" customHeight="1">
      <c r="C674" s="23"/>
      <c r="F674" s="23"/>
      <c r="G674" s="23"/>
      <c r="K674" s="23"/>
    </row>
    <row r="675" ht="15.75" customHeight="1">
      <c r="C675" s="23"/>
      <c r="F675" s="23"/>
      <c r="G675" s="23"/>
      <c r="K675" s="23"/>
    </row>
    <row r="676" ht="15.75" customHeight="1">
      <c r="C676" s="23"/>
      <c r="F676" s="23"/>
      <c r="G676" s="23"/>
      <c r="K676" s="23"/>
    </row>
    <row r="677" ht="15.75" customHeight="1">
      <c r="C677" s="23"/>
      <c r="F677" s="23"/>
      <c r="G677" s="23"/>
      <c r="K677" s="23"/>
    </row>
    <row r="678" ht="15.75" customHeight="1">
      <c r="C678" s="23"/>
      <c r="F678" s="23"/>
      <c r="G678" s="23"/>
      <c r="K678" s="23"/>
    </row>
    <row r="679" ht="15.75" customHeight="1">
      <c r="C679" s="23"/>
      <c r="F679" s="23"/>
      <c r="G679" s="23"/>
      <c r="K679" s="23"/>
    </row>
    <row r="680" ht="15.75" customHeight="1">
      <c r="C680" s="23"/>
      <c r="F680" s="23"/>
      <c r="G680" s="23"/>
      <c r="K680" s="23"/>
    </row>
    <row r="681" ht="15.75" customHeight="1">
      <c r="C681" s="23"/>
      <c r="F681" s="23"/>
      <c r="G681" s="23"/>
      <c r="K681" s="23"/>
    </row>
    <row r="682" ht="15.75" customHeight="1">
      <c r="C682" s="23"/>
      <c r="F682" s="23"/>
      <c r="G682" s="23"/>
      <c r="K682" s="23"/>
    </row>
    <row r="683" ht="15.75" customHeight="1">
      <c r="C683" s="23"/>
      <c r="F683" s="23"/>
      <c r="G683" s="23"/>
      <c r="K683" s="23"/>
    </row>
    <row r="684" ht="15.75" customHeight="1">
      <c r="C684" s="23"/>
      <c r="F684" s="23"/>
      <c r="G684" s="23"/>
      <c r="K684" s="23"/>
    </row>
    <row r="685" ht="15.75" customHeight="1">
      <c r="C685" s="23"/>
      <c r="F685" s="23"/>
      <c r="G685" s="23"/>
      <c r="K685" s="23"/>
    </row>
    <row r="686" ht="15.75" customHeight="1">
      <c r="C686" s="23"/>
      <c r="F686" s="23"/>
      <c r="G686" s="23"/>
      <c r="K686" s="23"/>
    </row>
    <row r="687" ht="15.75" customHeight="1">
      <c r="C687" s="23"/>
      <c r="F687" s="23"/>
      <c r="G687" s="23"/>
      <c r="K687" s="23"/>
    </row>
    <row r="688" ht="15.75" customHeight="1">
      <c r="C688" s="23"/>
      <c r="F688" s="23"/>
      <c r="G688" s="23"/>
      <c r="K688" s="23"/>
    </row>
    <row r="689" ht="15.75" customHeight="1">
      <c r="C689" s="23"/>
      <c r="F689" s="23"/>
      <c r="G689" s="23"/>
      <c r="K689" s="23"/>
    </row>
    <row r="690" ht="15.75" customHeight="1">
      <c r="C690" s="23"/>
      <c r="F690" s="23"/>
      <c r="G690" s="23"/>
      <c r="K690" s="23"/>
    </row>
    <row r="691" ht="15.75" customHeight="1">
      <c r="C691" s="23"/>
      <c r="F691" s="23"/>
      <c r="G691" s="23"/>
      <c r="K691" s="23"/>
    </row>
    <row r="692" ht="15.75" customHeight="1">
      <c r="C692" s="23"/>
      <c r="F692" s="23"/>
      <c r="G692" s="23"/>
      <c r="K692" s="23"/>
    </row>
    <row r="693" ht="15.75" customHeight="1">
      <c r="C693" s="23"/>
      <c r="F693" s="23"/>
      <c r="G693" s="23"/>
      <c r="K693" s="23"/>
    </row>
    <row r="694" ht="15.75" customHeight="1">
      <c r="C694" s="23"/>
      <c r="F694" s="23"/>
      <c r="G694" s="23"/>
      <c r="K694" s="23"/>
    </row>
    <row r="695" ht="15.75" customHeight="1">
      <c r="C695" s="23"/>
      <c r="F695" s="23"/>
      <c r="G695" s="23"/>
      <c r="K695" s="23"/>
    </row>
    <row r="696" ht="15.75" customHeight="1">
      <c r="C696" s="23"/>
      <c r="F696" s="23"/>
      <c r="G696" s="23"/>
      <c r="K696" s="23"/>
    </row>
    <row r="697" ht="15.75" customHeight="1">
      <c r="C697" s="23"/>
      <c r="F697" s="23"/>
      <c r="G697" s="23"/>
      <c r="K697" s="23"/>
    </row>
    <row r="698" ht="15.75" customHeight="1">
      <c r="C698" s="23"/>
      <c r="F698" s="23"/>
      <c r="G698" s="23"/>
      <c r="K698" s="23"/>
    </row>
    <row r="699" ht="15.75" customHeight="1">
      <c r="C699" s="23"/>
      <c r="F699" s="23"/>
      <c r="G699" s="23"/>
      <c r="K699" s="23"/>
    </row>
    <row r="700" ht="15.75" customHeight="1">
      <c r="C700" s="23"/>
      <c r="F700" s="23"/>
      <c r="G700" s="23"/>
      <c r="K700" s="23"/>
    </row>
    <row r="701" ht="15.75" customHeight="1">
      <c r="C701" s="23"/>
      <c r="F701" s="23"/>
      <c r="G701" s="23"/>
      <c r="K701" s="23"/>
    </row>
    <row r="702" ht="15.75" customHeight="1">
      <c r="C702" s="23"/>
      <c r="F702" s="23"/>
      <c r="G702" s="23"/>
      <c r="K702" s="23"/>
    </row>
    <row r="703" ht="15.75" customHeight="1">
      <c r="C703" s="23"/>
      <c r="F703" s="23"/>
      <c r="G703" s="23"/>
      <c r="K703" s="23"/>
    </row>
    <row r="704" ht="15.75" customHeight="1">
      <c r="C704" s="23"/>
      <c r="F704" s="23"/>
      <c r="G704" s="23"/>
      <c r="K704" s="23"/>
    </row>
    <row r="705" ht="15.75" customHeight="1">
      <c r="C705" s="23"/>
      <c r="F705" s="23"/>
      <c r="G705" s="23"/>
      <c r="K705" s="23"/>
    </row>
    <row r="706" ht="15.75" customHeight="1">
      <c r="C706" s="23"/>
      <c r="F706" s="23"/>
      <c r="G706" s="23"/>
      <c r="K706" s="23"/>
    </row>
    <row r="707" ht="15.75" customHeight="1">
      <c r="C707" s="23"/>
      <c r="F707" s="23"/>
      <c r="G707" s="23"/>
      <c r="K707" s="23"/>
    </row>
    <row r="708" ht="15.75" customHeight="1">
      <c r="C708" s="23"/>
      <c r="F708" s="23"/>
      <c r="G708" s="23"/>
      <c r="K708" s="23"/>
    </row>
    <row r="709" ht="15.75" customHeight="1">
      <c r="C709" s="23"/>
      <c r="F709" s="23"/>
      <c r="G709" s="23"/>
      <c r="K709" s="23"/>
    </row>
    <row r="710" ht="15.75" customHeight="1">
      <c r="C710" s="23"/>
      <c r="F710" s="23"/>
      <c r="G710" s="23"/>
      <c r="K710" s="23"/>
    </row>
    <row r="711" ht="15.75" customHeight="1">
      <c r="C711" s="23"/>
      <c r="F711" s="23"/>
      <c r="G711" s="23"/>
      <c r="K711" s="23"/>
    </row>
    <row r="712" ht="15.75" customHeight="1">
      <c r="C712" s="23"/>
      <c r="F712" s="23"/>
      <c r="G712" s="23"/>
      <c r="K712" s="23"/>
    </row>
    <row r="713" ht="15.75" customHeight="1">
      <c r="C713" s="23"/>
      <c r="F713" s="23"/>
      <c r="G713" s="23"/>
      <c r="K713" s="23"/>
    </row>
    <row r="714" ht="15.75" customHeight="1">
      <c r="C714" s="23"/>
      <c r="F714" s="23"/>
      <c r="G714" s="23"/>
      <c r="K714" s="23"/>
    </row>
    <row r="715" ht="15.75" customHeight="1">
      <c r="C715" s="23"/>
      <c r="F715" s="23"/>
      <c r="G715" s="23"/>
      <c r="K715" s="23"/>
    </row>
    <row r="716" ht="15.75" customHeight="1">
      <c r="C716" s="23"/>
      <c r="F716" s="23"/>
      <c r="G716" s="23"/>
      <c r="K716" s="23"/>
    </row>
    <row r="717" ht="15.75" customHeight="1">
      <c r="C717" s="23"/>
      <c r="F717" s="23"/>
      <c r="G717" s="23"/>
      <c r="K717" s="23"/>
    </row>
    <row r="718" ht="15.75" customHeight="1">
      <c r="C718" s="23"/>
      <c r="F718" s="23"/>
      <c r="G718" s="23"/>
      <c r="K718" s="23"/>
    </row>
    <row r="719" ht="15.75" customHeight="1">
      <c r="C719" s="23"/>
      <c r="F719" s="23"/>
      <c r="G719" s="23"/>
      <c r="K719" s="23"/>
    </row>
    <row r="720" ht="15.75" customHeight="1">
      <c r="C720" s="23"/>
      <c r="F720" s="23"/>
      <c r="G720" s="23"/>
      <c r="K720" s="23"/>
    </row>
    <row r="721" ht="15.75" customHeight="1">
      <c r="C721" s="23"/>
      <c r="F721" s="23"/>
      <c r="G721" s="23"/>
      <c r="K721" s="23"/>
    </row>
    <row r="722" ht="15.75" customHeight="1">
      <c r="C722" s="23"/>
      <c r="F722" s="23"/>
      <c r="G722" s="23"/>
      <c r="K722" s="23"/>
    </row>
    <row r="723" ht="15.75" customHeight="1">
      <c r="C723" s="23"/>
      <c r="F723" s="23"/>
      <c r="G723" s="23"/>
      <c r="K723" s="23"/>
    </row>
    <row r="724" ht="15.75" customHeight="1">
      <c r="C724" s="23"/>
      <c r="F724" s="23"/>
      <c r="G724" s="23"/>
      <c r="K724" s="23"/>
    </row>
    <row r="725" ht="15.75" customHeight="1">
      <c r="C725" s="23"/>
      <c r="F725" s="23"/>
      <c r="G725" s="23"/>
      <c r="K725" s="23"/>
    </row>
    <row r="726" ht="15.75" customHeight="1">
      <c r="C726" s="23"/>
      <c r="F726" s="23"/>
      <c r="G726" s="23"/>
      <c r="K726" s="23"/>
    </row>
    <row r="727" ht="15.75" customHeight="1">
      <c r="C727" s="23"/>
      <c r="F727" s="23"/>
      <c r="G727" s="23"/>
      <c r="K727" s="23"/>
    </row>
    <row r="728" ht="15.75" customHeight="1">
      <c r="C728" s="23"/>
      <c r="F728" s="23"/>
      <c r="G728" s="23"/>
      <c r="K728" s="23"/>
    </row>
    <row r="729" ht="15.75" customHeight="1">
      <c r="C729" s="23"/>
      <c r="F729" s="23"/>
      <c r="G729" s="23"/>
      <c r="K729" s="23"/>
    </row>
    <row r="730" ht="15.75" customHeight="1">
      <c r="C730" s="23"/>
      <c r="F730" s="23"/>
      <c r="G730" s="23"/>
      <c r="K730" s="23"/>
    </row>
    <row r="731" ht="15.75" customHeight="1">
      <c r="C731" s="23"/>
      <c r="F731" s="23"/>
      <c r="G731" s="23"/>
      <c r="K731" s="23"/>
    </row>
    <row r="732" ht="15.75" customHeight="1">
      <c r="C732" s="23"/>
      <c r="F732" s="23"/>
      <c r="G732" s="23"/>
      <c r="K732" s="23"/>
    </row>
    <row r="733" ht="15.75" customHeight="1">
      <c r="C733" s="23"/>
      <c r="F733" s="23"/>
      <c r="G733" s="23"/>
      <c r="K733" s="23"/>
    </row>
    <row r="734" ht="15.75" customHeight="1">
      <c r="C734" s="23"/>
      <c r="F734" s="23"/>
      <c r="G734" s="23"/>
      <c r="K734" s="23"/>
    </row>
    <row r="735" ht="15.75" customHeight="1">
      <c r="C735" s="23"/>
      <c r="F735" s="23"/>
      <c r="G735" s="23"/>
      <c r="K735" s="23"/>
    </row>
    <row r="736" ht="15.75" customHeight="1">
      <c r="C736" s="23"/>
      <c r="F736" s="23"/>
      <c r="G736" s="23"/>
      <c r="K736" s="23"/>
    </row>
    <row r="737" ht="15.75" customHeight="1">
      <c r="C737" s="23"/>
      <c r="F737" s="23"/>
      <c r="G737" s="23"/>
      <c r="K737" s="23"/>
    </row>
    <row r="738" ht="15.75" customHeight="1">
      <c r="C738" s="23"/>
      <c r="F738" s="23"/>
      <c r="G738" s="23"/>
      <c r="K738" s="23"/>
    </row>
    <row r="739" ht="15.75" customHeight="1">
      <c r="C739" s="23"/>
      <c r="F739" s="23"/>
      <c r="G739" s="23"/>
      <c r="K739" s="23"/>
    </row>
    <row r="740" ht="15.75" customHeight="1">
      <c r="C740" s="23"/>
      <c r="F740" s="23"/>
      <c r="G740" s="23"/>
      <c r="K740" s="23"/>
    </row>
    <row r="741" ht="15.75" customHeight="1">
      <c r="C741" s="23"/>
      <c r="F741" s="23"/>
      <c r="G741" s="23"/>
      <c r="K741" s="23"/>
    </row>
    <row r="742" ht="15.75" customHeight="1">
      <c r="C742" s="23"/>
      <c r="F742" s="23"/>
      <c r="G742" s="23"/>
      <c r="K742" s="23"/>
    </row>
    <row r="743" ht="15.75" customHeight="1">
      <c r="C743" s="23"/>
      <c r="F743" s="23"/>
      <c r="G743" s="23"/>
      <c r="K743" s="23"/>
    </row>
    <row r="744" ht="15.75" customHeight="1">
      <c r="C744" s="23"/>
      <c r="F744" s="23"/>
      <c r="G744" s="23"/>
      <c r="K744" s="23"/>
    </row>
    <row r="745" ht="15.75" customHeight="1">
      <c r="C745" s="23"/>
      <c r="F745" s="23"/>
      <c r="G745" s="23"/>
      <c r="K745" s="23"/>
    </row>
    <row r="746" ht="15.75" customHeight="1">
      <c r="C746" s="23"/>
      <c r="F746" s="23"/>
      <c r="G746" s="23"/>
      <c r="K746" s="23"/>
    </row>
    <row r="747" ht="15.75" customHeight="1">
      <c r="C747" s="23"/>
      <c r="F747" s="23"/>
      <c r="G747" s="23"/>
      <c r="K747" s="23"/>
    </row>
    <row r="748" ht="15.75" customHeight="1">
      <c r="C748" s="23"/>
      <c r="F748" s="23"/>
      <c r="G748" s="23"/>
      <c r="K748" s="23"/>
    </row>
    <row r="749" ht="15.75" customHeight="1">
      <c r="C749" s="23"/>
      <c r="F749" s="23"/>
      <c r="G749" s="23"/>
      <c r="K749" s="23"/>
    </row>
    <row r="750" ht="15.75" customHeight="1">
      <c r="C750" s="23"/>
      <c r="F750" s="23"/>
      <c r="G750" s="23"/>
      <c r="K750" s="23"/>
    </row>
    <row r="751" ht="15.75" customHeight="1">
      <c r="C751" s="23"/>
      <c r="F751" s="23"/>
      <c r="G751" s="23"/>
      <c r="K751" s="23"/>
    </row>
    <row r="752" ht="15.75" customHeight="1">
      <c r="C752" s="23"/>
      <c r="F752" s="23"/>
      <c r="G752" s="23"/>
      <c r="K752" s="23"/>
    </row>
    <row r="753" ht="15.75" customHeight="1">
      <c r="C753" s="23"/>
      <c r="F753" s="23"/>
      <c r="G753" s="23"/>
      <c r="K753" s="23"/>
    </row>
    <row r="754" ht="15.75" customHeight="1">
      <c r="C754" s="23"/>
      <c r="F754" s="23"/>
      <c r="G754" s="23"/>
      <c r="K754" s="23"/>
    </row>
    <row r="755" ht="15.75" customHeight="1">
      <c r="C755" s="23"/>
      <c r="F755" s="23"/>
      <c r="G755" s="23"/>
      <c r="K755" s="23"/>
    </row>
    <row r="756" ht="15.75" customHeight="1">
      <c r="C756" s="23"/>
      <c r="F756" s="23"/>
      <c r="G756" s="23"/>
      <c r="K756" s="23"/>
    </row>
    <row r="757" ht="15.75" customHeight="1">
      <c r="C757" s="23"/>
      <c r="F757" s="23"/>
      <c r="G757" s="23"/>
      <c r="K757" s="23"/>
    </row>
    <row r="758" ht="15.75" customHeight="1">
      <c r="C758" s="23"/>
      <c r="F758" s="23"/>
      <c r="G758" s="23"/>
      <c r="K758" s="23"/>
    </row>
    <row r="759" ht="15.75" customHeight="1">
      <c r="C759" s="23"/>
      <c r="F759" s="23"/>
      <c r="G759" s="23"/>
      <c r="K759" s="23"/>
    </row>
    <row r="760" ht="15.75" customHeight="1">
      <c r="C760" s="23"/>
      <c r="F760" s="23"/>
      <c r="G760" s="23"/>
      <c r="K760" s="23"/>
    </row>
    <row r="761" ht="15.75" customHeight="1">
      <c r="C761" s="23"/>
      <c r="F761" s="23"/>
      <c r="G761" s="23"/>
      <c r="K761" s="23"/>
    </row>
    <row r="762" ht="15.75" customHeight="1">
      <c r="C762" s="23"/>
      <c r="F762" s="23"/>
      <c r="G762" s="23"/>
      <c r="K762" s="23"/>
    </row>
    <row r="763" ht="15.75" customHeight="1">
      <c r="C763" s="23"/>
      <c r="F763" s="23"/>
      <c r="G763" s="23"/>
      <c r="K763" s="23"/>
    </row>
    <row r="764" ht="15.75" customHeight="1">
      <c r="C764" s="23"/>
      <c r="F764" s="23"/>
      <c r="G764" s="23"/>
      <c r="K764" s="23"/>
    </row>
    <row r="765" ht="15.75" customHeight="1">
      <c r="C765" s="23"/>
      <c r="F765" s="23"/>
      <c r="G765" s="23"/>
      <c r="K765" s="23"/>
    </row>
    <row r="766" ht="15.75" customHeight="1">
      <c r="C766" s="23"/>
      <c r="F766" s="23"/>
      <c r="G766" s="23"/>
      <c r="K766" s="23"/>
    </row>
    <row r="767" ht="15.75" customHeight="1">
      <c r="C767" s="23"/>
      <c r="F767" s="23"/>
      <c r="G767" s="23"/>
      <c r="K767" s="23"/>
    </row>
    <row r="768" ht="15.75" customHeight="1">
      <c r="C768" s="23"/>
      <c r="F768" s="23"/>
      <c r="G768" s="23"/>
      <c r="K768" s="23"/>
    </row>
    <row r="769" ht="15.75" customHeight="1">
      <c r="C769" s="23"/>
      <c r="F769" s="23"/>
      <c r="G769" s="23"/>
      <c r="K769" s="23"/>
    </row>
    <row r="770" ht="15.75" customHeight="1">
      <c r="C770" s="23"/>
      <c r="F770" s="23"/>
      <c r="G770" s="23"/>
      <c r="K770" s="23"/>
    </row>
    <row r="771" ht="15.75" customHeight="1">
      <c r="C771" s="23"/>
      <c r="F771" s="23"/>
      <c r="G771" s="23"/>
      <c r="K771" s="23"/>
    </row>
    <row r="772" ht="15.75" customHeight="1">
      <c r="C772" s="23"/>
      <c r="F772" s="23"/>
      <c r="G772" s="23"/>
      <c r="K772" s="23"/>
    </row>
    <row r="773" ht="15.75" customHeight="1">
      <c r="C773" s="23"/>
      <c r="F773" s="23"/>
      <c r="G773" s="23"/>
      <c r="K773" s="23"/>
    </row>
    <row r="774" ht="15.75" customHeight="1">
      <c r="C774" s="23"/>
      <c r="F774" s="23"/>
      <c r="G774" s="23"/>
      <c r="K774" s="23"/>
    </row>
    <row r="775" ht="15.75" customHeight="1">
      <c r="C775" s="23"/>
      <c r="F775" s="23"/>
      <c r="G775" s="23"/>
      <c r="K775" s="23"/>
    </row>
    <row r="776" ht="15.75" customHeight="1">
      <c r="C776" s="23"/>
      <c r="F776" s="23"/>
      <c r="G776" s="23"/>
      <c r="K776" s="23"/>
    </row>
    <row r="777" ht="15.75" customHeight="1">
      <c r="C777" s="23"/>
      <c r="F777" s="23"/>
      <c r="G777" s="23"/>
      <c r="K777" s="23"/>
    </row>
    <row r="778" ht="15.75" customHeight="1">
      <c r="C778" s="23"/>
      <c r="F778" s="23"/>
      <c r="G778" s="23"/>
      <c r="K778" s="23"/>
    </row>
    <row r="779" ht="15.75" customHeight="1">
      <c r="C779" s="23"/>
      <c r="F779" s="23"/>
      <c r="G779" s="23"/>
      <c r="K779" s="23"/>
    </row>
    <row r="780" ht="15.75" customHeight="1">
      <c r="C780" s="23"/>
      <c r="F780" s="23"/>
      <c r="G780" s="23"/>
      <c r="K780" s="23"/>
    </row>
    <row r="781" ht="15.75" customHeight="1">
      <c r="C781" s="23"/>
      <c r="F781" s="23"/>
      <c r="G781" s="23"/>
      <c r="K781" s="23"/>
    </row>
    <row r="782" ht="15.75" customHeight="1">
      <c r="C782" s="23"/>
      <c r="F782" s="23"/>
      <c r="G782" s="23"/>
      <c r="K782" s="23"/>
    </row>
    <row r="783" ht="15.75" customHeight="1">
      <c r="C783" s="23"/>
      <c r="F783" s="23"/>
      <c r="G783" s="23"/>
      <c r="K783" s="23"/>
    </row>
    <row r="784" ht="15.75" customHeight="1">
      <c r="C784" s="23"/>
      <c r="F784" s="23"/>
      <c r="G784" s="23"/>
      <c r="K784" s="23"/>
    </row>
    <row r="785" ht="15.75" customHeight="1">
      <c r="C785" s="23"/>
      <c r="F785" s="23"/>
      <c r="G785" s="23"/>
      <c r="K785" s="23"/>
    </row>
    <row r="786" ht="15.75" customHeight="1">
      <c r="C786" s="23"/>
      <c r="F786" s="23"/>
      <c r="G786" s="23"/>
      <c r="K786" s="23"/>
    </row>
    <row r="787" ht="15.75" customHeight="1">
      <c r="C787" s="23"/>
      <c r="F787" s="23"/>
      <c r="G787" s="23"/>
      <c r="K787" s="23"/>
    </row>
    <row r="788" ht="15.75" customHeight="1">
      <c r="C788" s="23"/>
      <c r="F788" s="23"/>
      <c r="G788" s="23"/>
      <c r="K788" s="23"/>
    </row>
    <row r="789" ht="15.75" customHeight="1">
      <c r="C789" s="23"/>
      <c r="F789" s="23"/>
      <c r="G789" s="23"/>
      <c r="K789" s="23"/>
    </row>
    <row r="790" ht="15.75" customHeight="1">
      <c r="C790" s="23"/>
      <c r="F790" s="23"/>
      <c r="G790" s="23"/>
      <c r="K790" s="23"/>
    </row>
    <row r="791" ht="15.75" customHeight="1">
      <c r="C791" s="23"/>
      <c r="F791" s="23"/>
      <c r="G791" s="23"/>
      <c r="K791" s="23"/>
    </row>
    <row r="792" ht="15.75" customHeight="1">
      <c r="C792" s="23"/>
      <c r="F792" s="23"/>
      <c r="G792" s="23"/>
      <c r="K792" s="23"/>
    </row>
    <row r="793" ht="15.75" customHeight="1">
      <c r="C793" s="23"/>
      <c r="F793" s="23"/>
      <c r="G793" s="23"/>
      <c r="K793" s="23"/>
    </row>
    <row r="794" ht="15.75" customHeight="1">
      <c r="C794" s="23"/>
      <c r="F794" s="23"/>
      <c r="G794" s="23"/>
      <c r="K794" s="23"/>
    </row>
    <row r="795" ht="15.75" customHeight="1">
      <c r="C795" s="23"/>
      <c r="F795" s="23"/>
      <c r="G795" s="23"/>
      <c r="K795" s="23"/>
    </row>
    <row r="796" ht="15.75" customHeight="1">
      <c r="C796" s="23"/>
      <c r="F796" s="23"/>
      <c r="G796" s="23"/>
      <c r="K796" s="23"/>
    </row>
    <row r="797" ht="15.75" customHeight="1">
      <c r="C797" s="23"/>
      <c r="F797" s="23"/>
      <c r="G797" s="23"/>
      <c r="K797" s="23"/>
    </row>
    <row r="798" ht="15.75" customHeight="1">
      <c r="C798" s="23"/>
      <c r="F798" s="23"/>
      <c r="G798" s="23"/>
      <c r="K798" s="23"/>
    </row>
    <row r="799" ht="15.75" customHeight="1">
      <c r="C799" s="23"/>
      <c r="F799" s="23"/>
      <c r="G799" s="23"/>
      <c r="K799" s="23"/>
    </row>
    <row r="800" ht="15.75" customHeight="1">
      <c r="C800" s="23"/>
      <c r="F800" s="23"/>
      <c r="G800" s="23"/>
      <c r="K800" s="23"/>
    </row>
    <row r="801" ht="15.75" customHeight="1">
      <c r="C801" s="23"/>
      <c r="F801" s="23"/>
      <c r="G801" s="23"/>
      <c r="K801" s="23"/>
    </row>
    <row r="802" ht="15.75" customHeight="1">
      <c r="C802" s="23"/>
      <c r="F802" s="23"/>
      <c r="G802" s="23"/>
      <c r="K802" s="23"/>
    </row>
    <row r="803" ht="15.75" customHeight="1">
      <c r="C803" s="23"/>
      <c r="F803" s="23"/>
      <c r="G803" s="23"/>
      <c r="K803" s="23"/>
    </row>
    <row r="804" ht="15.75" customHeight="1">
      <c r="C804" s="23"/>
      <c r="F804" s="23"/>
      <c r="G804" s="23"/>
      <c r="K804" s="23"/>
    </row>
    <row r="805" ht="15.75" customHeight="1">
      <c r="C805" s="23"/>
      <c r="F805" s="23"/>
      <c r="G805" s="23"/>
      <c r="K805" s="23"/>
    </row>
    <row r="806" ht="15.75" customHeight="1">
      <c r="C806" s="23"/>
      <c r="F806" s="23"/>
      <c r="G806" s="23"/>
      <c r="K806" s="23"/>
    </row>
    <row r="807" ht="15.75" customHeight="1">
      <c r="C807" s="23"/>
      <c r="F807" s="23"/>
      <c r="G807" s="23"/>
      <c r="K807" s="23"/>
    </row>
    <row r="808" ht="15.75" customHeight="1">
      <c r="C808" s="23"/>
      <c r="F808" s="23"/>
      <c r="G808" s="23"/>
      <c r="K808" s="23"/>
    </row>
    <row r="809" ht="15.75" customHeight="1">
      <c r="C809" s="23"/>
      <c r="F809" s="23"/>
      <c r="G809" s="23"/>
      <c r="K809" s="23"/>
    </row>
    <row r="810" ht="15.75" customHeight="1">
      <c r="C810" s="23"/>
      <c r="F810" s="23"/>
      <c r="G810" s="23"/>
      <c r="K810" s="23"/>
    </row>
    <row r="811" ht="15.75" customHeight="1">
      <c r="C811" s="23"/>
      <c r="F811" s="23"/>
      <c r="G811" s="23"/>
      <c r="K811" s="23"/>
    </row>
    <row r="812" ht="15.75" customHeight="1">
      <c r="C812" s="23"/>
      <c r="F812" s="23"/>
      <c r="G812" s="23"/>
      <c r="K812" s="23"/>
    </row>
    <row r="813" ht="15.75" customHeight="1">
      <c r="C813" s="23"/>
      <c r="F813" s="23"/>
      <c r="G813" s="23"/>
      <c r="K813" s="23"/>
    </row>
    <row r="814" ht="15.75" customHeight="1">
      <c r="C814" s="23"/>
      <c r="F814" s="23"/>
      <c r="G814" s="23"/>
      <c r="K814" s="23"/>
    </row>
    <row r="815" ht="15.75" customHeight="1">
      <c r="C815" s="23"/>
      <c r="F815" s="23"/>
      <c r="G815" s="23"/>
      <c r="K815" s="23"/>
    </row>
    <row r="816" ht="15.75" customHeight="1">
      <c r="C816" s="23"/>
      <c r="F816" s="23"/>
      <c r="G816" s="23"/>
      <c r="K816" s="23"/>
    </row>
    <row r="817" ht="15.75" customHeight="1">
      <c r="C817" s="23"/>
      <c r="F817" s="23"/>
      <c r="G817" s="23"/>
      <c r="K817" s="23"/>
    </row>
    <row r="818" ht="15.75" customHeight="1">
      <c r="C818" s="23"/>
      <c r="F818" s="23"/>
      <c r="G818" s="23"/>
      <c r="K818" s="23"/>
    </row>
    <row r="819" ht="15.75" customHeight="1">
      <c r="C819" s="23"/>
      <c r="F819" s="23"/>
      <c r="G819" s="23"/>
      <c r="K819" s="23"/>
    </row>
    <row r="820" ht="15.75" customHeight="1">
      <c r="C820" s="23"/>
      <c r="F820" s="23"/>
      <c r="G820" s="23"/>
      <c r="K820" s="23"/>
    </row>
    <row r="821" ht="15.75" customHeight="1">
      <c r="C821" s="23"/>
      <c r="F821" s="23"/>
      <c r="G821" s="23"/>
      <c r="K821" s="23"/>
    </row>
    <row r="822" ht="15.75" customHeight="1">
      <c r="C822" s="23"/>
      <c r="F822" s="23"/>
      <c r="G822" s="23"/>
      <c r="K822" s="23"/>
    </row>
    <row r="823" ht="15.75" customHeight="1">
      <c r="C823" s="23"/>
      <c r="F823" s="23"/>
      <c r="G823" s="23"/>
      <c r="K823" s="23"/>
    </row>
    <row r="824" ht="15.75" customHeight="1">
      <c r="C824" s="23"/>
      <c r="F824" s="23"/>
      <c r="G824" s="23"/>
      <c r="K824" s="23"/>
    </row>
    <row r="825" ht="15.75" customHeight="1">
      <c r="C825" s="23"/>
      <c r="F825" s="23"/>
      <c r="G825" s="23"/>
      <c r="K825" s="23"/>
    </row>
    <row r="826" ht="15.75" customHeight="1">
      <c r="C826" s="23"/>
      <c r="F826" s="23"/>
      <c r="G826" s="23"/>
      <c r="K826" s="23"/>
    </row>
    <row r="827" ht="15.75" customHeight="1">
      <c r="C827" s="23"/>
      <c r="F827" s="23"/>
      <c r="G827" s="23"/>
      <c r="K827" s="23"/>
    </row>
    <row r="828" ht="15.75" customHeight="1">
      <c r="C828" s="23"/>
      <c r="F828" s="23"/>
      <c r="G828" s="23"/>
      <c r="K828" s="23"/>
    </row>
    <row r="829" ht="15.75" customHeight="1">
      <c r="C829" s="23"/>
      <c r="F829" s="23"/>
      <c r="G829" s="23"/>
      <c r="K829" s="23"/>
    </row>
    <row r="830" ht="15.75" customHeight="1">
      <c r="C830" s="23"/>
      <c r="F830" s="23"/>
      <c r="G830" s="23"/>
      <c r="K830" s="23"/>
    </row>
    <row r="831" ht="15.75" customHeight="1">
      <c r="C831" s="23"/>
      <c r="F831" s="23"/>
      <c r="G831" s="23"/>
      <c r="K831" s="23"/>
    </row>
    <row r="832" ht="15.75" customHeight="1">
      <c r="C832" s="23"/>
      <c r="F832" s="23"/>
      <c r="G832" s="23"/>
      <c r="K832" s="23"/>
    </row>
    <row r="833" ht="15.75" customHeight="1">
      <c r="C833" s="23"/>
      <c r="F833" s="23"/>
      <c r="G833" s="23"/>
      <c r="K833" s="23"/>
    </row>
    <row r="834" ht="15.75" customHeight="1">
      <c r="C834" s="23"/>
      <c r="F834" s="23"/>
      <c r="G834" s="23"/>
      <c r="K834" s="23"/>
    </row>
    <row r="835" ht="15.75" customHeight="1">
      <c r="C835" s="23"/>
      <c r="F835" s="23"/>
      <c r="G835" s="23"/>
      <c r="K835" s="23"/>
    </row>
    <row r="836" ht="15.75" customHeight="1">
      <c r="C836" s="23"/>
      <c r="F836" s="23"/>
      <c r="G836" s="23"/>
      <c r="K836" s="23"/>
    </row>
    <row r="837" ht="15.75" customHeight="1">
      <c r="C837" s="23"/>
      <c r="F837" s="23"/>
      <c r="G837" s="23"/>
      <c r="K837" s="23"/>
    </row>
    <row r="838" ht="15.75" customHeight="1">
      <c r="C838" s="23"/>
      <c r="F838" s="23"/>
      <c r="G838" s="23"/>
      <c r="K838" s="23"/>
    </row>
    <row r="839" ht="15.75" customHeight="1">
      <c r="C839" s="23"/>
      <c r="F839" s="23"/>
      <c r="G839" s="23"/>
      <c r="K839" s="23"/>
    </row>
    <row r="840" ht="15.75" customHeight="1">
      <c r="C840" s="23"/>
      <c r="F840" s="23"/>
      <c r="G840" s="23"/>
      <c r="K840" s="23"/>
    </row>
    <row r="841" ht="15.75" customHeight="1">
      <c r="C841" s="23"/>
      <c r="F841" s="23"/>
      <c r="G841" s="23"/>
      <c r="K841" s="23"/>
    </row>
    <row r="842" ht="15.75" customHeight="1">
      <c r="C842" s="23"/>
      <c r="F842" s="23"/>
      <c r="G842" s="23"/>
      <c r="K842" s="23"/>
    </row>
    <row r="843" ht="15.75" customHeight="1">
      <c r="C843" s="23"/>
      <c r="F843" s="23"/>
      <c r="G843" s="23"/>
      <c r="K843" s="23"/>
    </row>
    <row r="844" ht="15.75" customHeight="1">
      <c r="C844" s="23"/>
      <c r="F844" s="23"/>
      <c r="G844" s="23"/>
      <c r="K844" s="23"/>
    </row>
    <row r="845" ht="15.75" customHeight="1">
      <c r="C845" s="23"/>
      <c r="F845" s="23"/>
      <c r="G845" s="23"/>
      <c r="K845" s="23"/>
    </row>
    <row r="846" ht="15.75" customHeight="1">
      <c r="C846" s="23"/>
      <c r="F846" s="23"/>
      <c r="G846" s="23"/>
      <c r="K846" s="23"/>
    </row>
    <row r="847" ht="15.75" customHeight="1">
      <c r="C847" s="23"/>
      <c r="F847" s="23"/>
      <c r="G847" s="23"/>
      <c r="K847" s="23"/>
    </row>
    <row r="848" ht="15.75" customHeight="1">
      <c r="C848" s="23"/>
      <c r="F848" s="23"/>
      <c r="G848" s="23"/>
      <c r="K848" s="23"/>
    </row>
    <row r="849" ht="15.75" customHeight="1">
      <c r="C849" s="23"/>
      <c r="F849" s="23"/>
      <c r="G849" s="23"/>
      <c r="K849" s="23"/>
    </row>
    <row r="850" ht="15.75" customHeight="1">
      <c r="C850" s="23"/>
      <c r="F850" s="23"/>
      <c r="G850" s="23"/>
      <c r="K850" s="23"/>
    </row>
    <row r="851" ht="15.75" customHeight="1">
      <c r="C851" s="23"/>
      <c r="F851" s="23"/>
      <c r="G851" s="23"/>
      <c r="K851" s="23"/>
    </row>
    <row r="852" ht="15.75" customHeight="1">
      <c r="C852" s="23"/>
      <c r="F852" s="23"/>
      <c r="G852" s="23"/>
      <c r="K852" s="23"/>
    </row>
    <row r="853" ht="15.75" customHeight="1">
      <c r="C853" s="23"/>
      <c r="F853" s="23"/>
      <c r="G853" s="23"/>
      <c r="K853" s="23"/>
    </row>
    <row r="854" ht="15.75" customHeight="1">
      <c r="C854" s="23"/>
      <c r="F854" s="23"/>
      <c r="G854" s="23"/>
      <c r="K854" s="23"/>
    </row>
    <row r="855" ht="15.75" customHeight="1">
      <c r="C855" s="23"/>
      <c r="F855" s="23"/>
      <c r="G855" s="23"/>
      <c r="K855" s="23"/>
    </row>
    <row r="856" ht="15.75" customHeight="1">
      <c r="C856" s="23"/>
      <c r="F856" s="23"/>
      <c r="G856" s="23"/>
      <c r="K856" s="23"/>
    </row>
    <row r="857" ht="15.75" customHeight="1">
      <c r="C857" s="23"/>
      <c r="F857" s="23"/>
      <c r="G857" s="23"/>
      <c r="K857" s="23"/>
    </row>
    <row r="858" ht="15.75" customHeight="1">
      <c r="C858" s="23"/>
      <c r="F858" s="23"/>
      <c r="G858" s="23"/>
      <c r="K858" s="23"/>
    </row>
    <row r="859" ht="15.75" customHeight="1">
      <c r="C859" s="23"/>
      <c r="F859" s="23"/>
      <c r="G859" s="23"/>
      <c r="K859" s="23"/>
    </row>
    <row r="860" ht="15.75" customHeight="1">
      <c r="C860" s="23"/>
      <c r="F860" s="23"/>
      <c r="G860" s="23"/>
      <c r="K860" s="23"/>
    </row>
    <row r="861" ht="15.75" customHeight="1">
      <c r="C861" s="23"/>
      <c r="F861" s="23"/>
      <c r="G861" s="23"/>
      <c r="K861" s="23"/>
    </row>
    <row r="862" ht="15.75" customHeight="1">
      <c r="C862" s="23"/>
      <c r="F862" s="23"/>
      <c r="G862" s="23"/>
      <c r="K862" s="23"/>
    </row>
    <row r="863" ht="15.75" customHeight="1">
      <c r="C863" s="23"/>
      <c r="F863" s="23"/>
      <c r="G863" s="23"/>
      <c r="K863" s="23"/>
    </row>
    <row r="864" ht="15.75" customHeight="1">
      <c r="C864" s="23"/>
      <c r="F864" s="23"/>
      <c r="G864" s="23"/>
      <c r="K864" s="23"/>
    </row>
    <row r="865" ht="15.75" customHeight="1">
      <c r="C865" s="23"/>
      <c r="F865" s="23"/>
      <c r="G865" s="23"/>
      <c r="K865" s="23"/>
    </row>
    <row r="866" ht="15.75" customHeight="1">
      <c r="C866" s="23"/>
      <c r="F866" s="23"/>
      <c r="G866" s="23"/>
      <c r="K866" s="23"/>
    </row>
    <row r="867" ht="15.75" customHeight="1">
      <c r="C867" s="23"/>
      <c r="F867" s="23"/>
      <c r="G867" s="23"/>
      <c r="K867" s="23"/>
    </row>
    <row r="868" ht="15.75" customHeight="1">
      <c r="C868" s="23"/>
      <c r="F868" s="23"/>
      <c r="G868" s="23"/>
      <c r="K868" s="23"/>
    </row>
    <row r="869" ht="15.75" customHeight="1">
      <c r="C869" s="23"/>
      <c r="F869" s="23"/>
      <c r="G869" s="23"/>
      <c r="K869" s="23"/>
    </row>
    <row r="870" ht="15.75" customHeight="1">
      <c r="C870" s="23"/>
      <c r="F870" s="23"/>
      <c r="G870" s="23"/>
      <c r="K870" s="23"/>
    </row>
    <row r="871" ht="15.75" customHeight="1">
      <c r="C871" s="23"/>
      <c r="F871" s="23"/>
      <c r="G871" s="23"/>
      <c r="K871" s="23"/>
    </row>
    <row r="872" ht="15.75" customHeight="1">
      <c r="C872" s="23"/>
      <c r="F872" s="23"/>
      <c r="G872" s="23"/>
      <c r="K872" s="23"/>
    </row>
    <row r="873" ht="15.75" customHeight="1">
      <c r="C873" s="23"/>
      <c r="F873" s="23"/>
      <c r="G873" s="23"/>
      <c r="K873" s="23"/>
    </row>
    <row r="874" ht="15.75" customHeight="1">
      <c r="C874" s="23"/>
      <c r="F874" s="23"/>
      <c r="G874" s="23"/>
      <c r="K874" s="23"/>
    </row>
    <row r="875" ht="15.75" customHeight="1">
      <c r="C875" s="23"/>
      <c r="F875" s="23"/>
      <c r="G875" s="23"/>
      <c r="K875" s="23"/>
    </row>
    <row r="876" ht="15.75" customHeight="1">
      <c r="C876" s="23"/>
      <c r="F876" s="23"/>
      <c r="G876" s="23"/>
      <c r="K876" s="23"/>
    </row>
    <row r="877" ht="15.75" customHeight="1">
      <c r="C877" s="23"/>
      <c r="F877" s="23"/>
      <c r="G877" s="23"/>
      <c r="K877" s="23"/>
    </row>
    <row r="878" ht="15.75" customHeight="1">
      <c r="C878" s="23"/>
      <c r="F878" s="23"/>
      <c r="G878" s="23"/>
      <c r="K878" s="23"/>
    </row>
    <row r="879" ht="15.75" customHeight="1">
      <c r="C879" s="23"/>
      <c r="F879" s="23"/>
      <c r="G879" s="23"/>
      <c r="K879" s="23"/>
    </row>
    <row r="880" ht="15.75" customHeight="1">
      <c r="C880" s="23"/>
      <c r="F880" s="23"/>
      <c r="G880" s="23"/>
      <c r="K880" s="23"/>
    </row>
    <row r="881" ht="15.75" customHeight="1">
      <c r="C881" s="23"/>
      <c r="F881" s="23"/>
      <c r="G881" s="23"/>
      <c r="K881" s="23"/>
    </row>
    <row r="882" ht="15.75" customHeight="1">
      <c r="C882" s="23"/>
      <c r="F882" s="23"/>
      <c r="G882" s="23"/>
      <c r="K882" s="23"/>
    </row>
    <row r="883" ht="15.75" customHeight="1">
      <c r="C883" s="23"/>
      <c r="F883" s="23"/>
      <c r="G883" s="23"/>
      <c r="K883" s="23"/>
    </row>
    <row r="884" ht="15.75" customHeight="1">
      <c r="C884" s="23"/>
      <c r="F884" s="23"/>
      <c r="G884" s="23"/>
      <c r="K884" s="23"/>
    </row>
    <row r="885" ht="15.75" customHeight="1">
      <c r="C885" s="23"/>
      <c r="F885" s="23"/>
      <c r="G885" s="23"/>
      <c r="K885" s="23"/>
    </row>
    <row r="886" ht="15.75" customHeight="1">
      <c r="C886" s="23"/>
      <c r="F886" s="23"/>
      <c r="G886" s="23"/>
      <c r="K886" s="23"/>
    </row>
    <row r="887" ht="15.75" customHeight="1">
      <c r="C887" s="23"/>
      <c r="F887" s="23"/>
      <c r="G887" s="23"/>
      <c r="K887" s="23"/>
    </row>
    <row r="888" ht="15.75" customHeight="1">
      <c r="C888" s="23"/>
      <c r="F888" s="23"/>
      <c r="G888" s="23"/>
      <c r="K888" s="23"/>
    </row>
    <row r="889" ht="15.75" customHeight="1">
      <c r="C889" s="23"/>
      <c r="F889" s="23"/>
      <c r="G889" s="23"/>
      <c r="K889" s="23"/>
    </row>
    <row r="890" ht="15.75" customHeight="1">
      <c r="C890" s="23"/>
      <c r="F890" s="23"/>
      <c r="G890" s="23"/>
      <c r="K890" s="23"/>
    </row>
    <row r="891" ht="15.75" customHeight="1">
      <c r="C891" s="23"/>
      <c r="F891" s="23"/>
      <c r="G891" s="23"/>
      <c r="K891" s="23"/>
    </row>
    <row r="892" ht="15.75" customHeight="1">
      <c r="C892" s="23"/>
      <c r="F892" s="23"/>
      <c r="G892" s="23"/>
      <c r="K892" s="23"/>
    </row>
    <row r="893" ht="15.75" customHeight="1">
      <c r="C893" s="23"/>
      <c r="F893" s="23"/>
      <c r="G893" s="23"/>
      <c r="K893" s="23"/>
    </row>
    <row r="894" ht="15.75" customHeight="1">
      <c r="C894" s="23"/>
      <c r="F894" s="23"/>
      <c r="G894" s="23"/>
      <c r="K894" s="23"/>
    </row>
    <row r="895" ht="15.75" customHeight="1">
      <c r="C895" s="23"/>
      <c r="F895" s="23"/>
      <c r="G895" s="23"/>
      <c r="K895" s="23"/>
    </row>
    <row r="896" ht="15.75" customHeight="1">
      <c r="C896" s="23"/>
      <c r="F896" s="23"/>
      <c r="G896" s="23"/>
      <c r="K896" s="23"/>
    </row>
    <row r="897" ht="15.75" customHeight="1">
      <c r="C897" s="23"/>
      <c r="F897" s="23"/>
      <c r="G897" s="23"/>
      <c r="K897" s="23"/>
    </row>
    <row r="898" ht="15.75" customHeight="1">
      <c r="C898" s="23"/>
      <c r="F898" s="23"/>
      <c r="G898" s="23"/>
      <c r="K898" s="23"/>
    </row>
    <row r="899" ht="15.75" customHeight="1">
      <c r="C899" s="23"/>
      <c r="F899" s="23"/>
      <c r="G899" s="23"/>
      <c r="K899" s="23"/>
    </row>
    <row r="900" ht="15.75" customHeight="1">
      <c r="C900" s="23"/>
      <c r="F900" s="23"/>
      <c r="G900" s="23"/>
      <c r="K900" s="23"/>
    </row>
    <row r="901" ht="15.75" customHeight="1">
      <c r="C901" s="23"/>
      <c r="F901" s="23"/>
      <c r="G901" s="23"/>
      <c r="K901" s="23"/>
    </row>
    <row r="902" ht="15.75" customHeight="1">
      <c r="C902" s="23"/>
      <c r="F902" s="23"/>
      <c r="G902" s="23"/>
      <c r="K902" s="23"/>
    </row>
    <row r="903" ht="15.75" customHeight="1">
      <c r="C903" s="23"/>
      <c r="F903" s="23"/>
      <c r="G903" s="23"/>
      <c r="K903" s="23"/>
    </row>
    <row r="904" ht="15.75" customHeight="1">
      <c r="C904" s="23"/>
      <c r="F904" s="23"/>
      <c r="G904" s="23"/>
      <c r="K904" s="23"/>
    </row>
    <row r="905" ht="15.75" customHeight="1">
      <c r="C905" s="23"/>
      <c r="F905" s="23"/>
      <c r="G905" s="23"/>
      <c r="K905" s="23"/>
    </row>
    <row r="906" ht="15.75" customHeight="1">
      <c r="C906" s="23"/>
      <c r="F906" s="23"/>
      <c r="G906" s="23"/>
      <c r="K906" s="23"/>
    </row>
    <row r="907" ht="15.75" customHeight="1">
      <c r="C907" s="23"/>
      <c r="F907" s="23"/>
      <c r="G907" s="23"/>
      <c r="K907" s="23"/>
    </row>
    <row r="908" ht="15.75" customHeight="1">
      <c r="C908" s="23"/>
      <c r="F908" s="23"/>
      <c r="G908" s="23"/>
      <c r="K908" s="23"/>
    </row>
    <row r="909" ht="15.75" customHeight="1">
      <c r="C909" s="23"/>
      <c r="F909" s="23"/>
      <c r="G909" s="23"/>
      <c r="K909" s="23"/>
    </row>
    <row r="910" ht="15.75" customHeight="1">
      <c r="C910" s="23"/>
      <c r="F910" s="23"/>
      <c r="G910" s="23"/>
      <c r="K910" s="23"/>
    </row>
    <row r="911" ht="15.75" customHeight="1">
      <c r="C911" s="23"/>
      <c r="F911" s="23"/>
      <c r="G911" s="23"/>
      <c r="K911" s="23"/>
    </row>
    <row r="912" ht="15.75" customHeight="1">
      <c r="C912" s="23"/>
      <c r="F912" s="23"/>
      <c r="G912" s="23"/>
      <c r="K912" s="23"/>
    </row>
    <row r="913" ht="15.75" customHeight="1">
      <c r="C913" s="23"/>
      <c r="F913" s="23"/>
      <c r="G913" s="23"/>
      <c r="K913" s="23"/>
    </row>
    <row r="914" ht="15.75" customHeight="1">
      <c r="C914" s="23"/>
      <c r="F914" s="23"/>
      <c r="G914" s="23"/>
      <c r="K914" s="23"/>
    </row>
    <row r="915" ht="15.75" customHeight="1">
      <c r="C915" s="23"/>
      <c r="F915" s="23"/>
      <c r="G915" s="23"/>
      <c r="K915" s="23"/>
    </row>
    <row r="916" ht="15.75" customHeight="1">
      <c r="C916" s="23"/>
      <c r="F916" s="23"/>
      <c r="G916" s="23"/>
      <c r="K916" s="23"/>
    </row>
    <row r="917" ht="15.75" customHeight="1">
      <c r="C917" s="23"/>
      <c r="F917" s="23"/>
      <c r="G917" s="23"/>
      <c r="K917" s="23"/>
    </row>
    <row r="918" ht="15.75" customHeight="1">
      <c r="C918" s="23"/>
      <c r="F918" s="23"/>
      <c r="G918" s="23"/>
      <c r="K918" s="23"/>
    </row>
    <row r="919" ht="15.75" customHeight="1">
      <c r="C919" s="23"/>
      <c r="F919" s="23"/>
      <c r="G919" s="23"/>
      <c r="K919" s="23"/>
    </row>
    <row r="920" ht="15.75" customHeight="1">
      <c r="C920" s="23"/>
      <c r="F920" s="23"/>
      <c r="G920" s="23"/>
      <c r="K920" s="23"/>
    </row>
    <row r="921" ht="15.75" customHeight="1">
      <c r="C921" s="23"/>
      <c r="F921" s="23"/>
      <c r="G921" s="23"/>
      <c r="K921" s="23"/>
    </row>
    <row r="922" ht="15.75" customHeight="1">
      <c r="C922" s="23"/>
      <c r="F922" s="23"/>
      <c r="G922" s="23"/>
      <c r="K922" s="23"/>
    </row>
    <row r="923" ht="15.75" customHeight="1">
      <c r="C923" s="23"/>
      <c r="F923" s="23"/>
      <c r="G923" s="23"/>
      <c r="K923" s="23"/>
    </row>
    <row r="924" ht="15.75" customHeight="1">
      <c r="C924" s="23"/>
      <c r="F924" s="23"/>
      <c r="G924" s="23"/>
      <c r="K924" s="23"/>
    </row>
    <row r="925" ht="15.75" customHeight="1">
      <c r="C925" s="23"/>
      <c r="F925" s="23"/>
      <c r="G925" s="23"/>
      <c r="K925" s="23"/>
    </row>
    <row r="926" ht="15.75" customHeight="1">
      <c r="C926" s="23"/>
      <c r="F926" s="23"/>
      <c r="G926" s="23"/>
      <c r="K926" s="23"/>
    </row>
    <row r="927" ht="15.75" customHeight="1">
      <c r="C927" s="23"/>
      <c r="F927" s="23"/>
      <c r="G927" s="23"/>
      <c r="K927" s="23"/>
    </row>
    <row r="928" ht="15.75" customHeight="1">
      <c r="C928" s="23"/>
      <c r="F928" s="23"/>
      <c r="G928" s="23"/>
      <c r="K928" s="23"/>
    </row>
    <row r="929" ht="15.75" customHeight="1">
      <c r="C929" s="23"/>
      <c r="F929" s="23"/>
      <c r="G929" s="23"/>
      <c r="K929" s="23"/>
    </row>
    <row r="930" ht="15.75" customHeight="1">
      <c r="C930" s="23"/>
      <c r="F930" s="23"/>
      <c r="G930" s="23"/>
      <c r="K930" s="23"/>
    </row>
    <row r="931" ht="15.75" customHeight="1">
      <c r="C931" s="23"/>
      <c r="F931" s="23"/>
      <c r="G931" s="23"/>
      <c r="K931" s="23"/>
    </row>
    <row r="932" ht="15.75" customHeight="1">
      <c r="C932" s="23"/>
      <c r="F932" s="23"/>
      <c r="G932" s="23"/>
      <c r="K932" s="23"/>
    </row>
    <row r="933" ht="15.75" customHeight="1">
      <c r="C933" s="23"/>
      <c r="F933" s="23"/>
      <c r="G933" s="23"/>
      <c r="K933" s="23"/>
    </row>
    <row r="934" ht="15.75" customHeight="1">
      <c r="C934" s="23"/>
      <c r="F934" s="23"/>
      <c r="G934" s="23"/>
      <c r="K934" s="23"/>
    </row>
    <row r="935" ht="15.75" customHeight="1">
      <c r="C935" s="23"/>
      <c r="F935" s="23"/>
      <c r="G935" s="23"/>
      <c r="K935" s="23"/>
    </row>
    <row r="936" ht="15.75" customHeight="1">
      <c r="C936" s="23"/>
      <c r="F936" s="23"/>
      <c r="G936" s="23"/>
      <c r="K936" s="23"/>
    </row>
    <row r="937" ht="15.75" customHeight="1">
      <c r="C937" s="23"/>
      <c r="F937" s="23"/>
      <c r="G937" s="23"/>
      <c r="K937" s="23"/>
    </row>
    <row r="938" ht="15.75" customHeight="1">
      <c r="C938" s="23"/>
      <c r="F938" s="23"/>
      <c r="G938" s="23"/>
      <c r="K938" s="23"/>
    </row>
    <row r="939" ht="15.75" customHeight="1">
      <c r="C939" s="23"/>
      <c r="F939" s="23"/>
      <c r="G939" s="23"/>
      <c r="K939" s="23"/>
    </row>
    <row r="940" ht="15.75" customHeight="1">
      <c r="C940" s="23"/>
      <c r="F940" s="23"/>
      <c r="G940" s="23"/>
      <c r="K940" s="23"/>
    </row>
    <row r="941" ht="15.75" customHeight="1">
      <c r="C941" s="23"/>
      <c r="F941" s="23"/>
      <c r="G941" s="23"/>
      <c r="K941" s="23"/>
    </row>
    <row r="942" ht="15.75" customHeight="1">
      <c r="C942" s="23"/>
      <c r="F942" s="23"/>
      <c r="G942" s="23"/>
      <c r="K942" s="23"/>
    </row>
    <row r="943" ht="15.75" customHeight="1">
      <c r="C943" s="23"/>
      <c r="F943" s="23"/>
      <c r="G943" s="23"/>
      <c r="K943" s="23"/>
    </row>
    <row r="944" ht="15.75" customHeight="1">
      <c r="C944" s="23"/>
      <c r="F944" s="23"/>
      <c r="G944" s="23"/>
      <c r="K944" s="23"/>
    </row>
    <row r="945" ht="15.75" customHeight="1">
      <c r="C945" s="23"/>
      <c r="F945" s="23"/>
      <c r="G945" s="23"/>
      <c r="K945" s="23"/>
    </row>
    <row r="946" ht="15.75" customHeight="1">
      <c r="C946" s="23"/>
      <c r="F946" s="23"/>
      <c r="G946" s="23"/>
      <c r="K946" s="23"/>
    </row>
    <row r="947" ht="15.75" customHeight="1">
      <c r="C947" s="23"/>
      <c r="F947" s="23"/>
      <c r="G947" s="23"/>
      <c r="K947" s="23"/>
    </row>
    <row r="948" ht="15.75" customHeight="1">
      <c r="C948" s="23"/>
      <c r="F948" s="23"/>
      <c r="G948" s="23"/>
      <c r="K948" s="23"/>
    </row>
    <row r="949" ht="15.75" customHeight="1">
      <c r="C949" s="23"/>
      <c r="F949" s="23"/>
      <c r="G949" s="23"/>
      <c r="K949" s="23"/>
    </row>
    <row r="950" ht="15.75" customHeight="1">
      <c r="C950" s="23"/>
      <c r="F950" s="23"/>
      <c r="G950" s="23"/>
      <c r="K950" s="23"/>
    </row>
    <row r="951" ht="15.75" customHeight="1">
      <c r="C951" s="23"/>
      <c r="F951" s="23"/>
      <c r="G951" s="23"/>
      <c r="K951" s="23"/>
    </row>
    <row r="952" ht="15.75" customHeight="1">
      <c r="C952" s="23"/>
      <c r="F952" s="23"/>
      <c r="G952" s="23"/>
      <c r="K952" s="23"/>
    </row>
    <row r="953" ht="15.75" customHeight="1">
      <c r="C953" s="23"/>
      <c r="F953" s="23"/>
      <c r="G953" s="23"/>
      <c r="K953" s="23"/>
    </row>
    <row r="954" ht="15.75" customHeight="1">
      <c r="C954" s="23"/>
      <c r="F954" s="23"/>
      <c r="G954" s="23"/>
      <c r="K954" s="23"/>
    </row>
    <row r="955" ht="15.75" customHeight="1">
      <c r="C955" s="23"/>
      <c r="F955" s="23"/>
      <c r="G955" s="23"/>
      <c r="K955" s="23"/>
    </row>
    <row r="956" ht="15.75" customHeight="1">
      <c r="C956" s="23"/>
      <c r="F956" s="23"/>
      <c r="G956" s="23"/>
      <c r="K956" s="23"/>
    </row>
    <row r="957" ht="15.75" customHeight="1">
      <c r="C957" s="23"/>
      <c r="F957" s="23"/>
      <c r="G957" s="23"/>
      <c r="K957" s="23"/>
    </row>
    <row r="958" ht="15.75" customHeight="1">
      <c r="C958" s="23"/>
      <c r="F958" s="23"/>
      <c r="G958" s="23"/>
      <c r="K958" s="23"/>
    </row>
    <row r="959" ht="15.75" customHeight="1">
      <c r="C959" s="23"/>
      <c r="F959" s="23"/>
      <c r="G959" s="23"/>
      <c r="K959" s="23"/>
    </row>
    <row r="960" ht="15.75" customHeight="1">
      <c r="C960" s="23"/>
      <c r="F960" s="23"/>
      <c r="G960" s="23"/>
      <c r="K960" s="23"/>
    </row>
    <row r="961" ht="15.75" customHeight="1">
      <c r="C961" s="23"/>
      <c r="F961" s="23"/>
      <c r="G961" s="23"/>
      <c r="K961" s="23"/>
    </row>
    <row r="962" ht="15.75" customHeight="1">
      <c r="C962" s="23"/>
      <c r="F962" s="23"/>
      <c r="G962" s="23"/>
      <c r="K962" s="23"/>
    </row>
    <row r="963" ht="15.75" customHeight="1">
      <c r="C963" s="23"/>
      <c r="F963" s="23"/>
      <c r="G963" s="23"/>
      <c r="K963" s="23"/>
    </row>
    <row r="964" ht="15.75" customHeight="1">
      <c r="C964" s="23"/>
      <c r="F964" s="23"/>
      <c r="G964" s="23"/>
      <c r="K964" s="23"/>
    </row>
    <row r="965" ht="15.75" customHeight="1">
      <c r="C965" s="23"/>
      <c r="F965" s="23"/>
      <c r="G965" s="23"/>
      <c r="K965" s="23"/>
    </row>
    <row r="966" ht="15.75" customHeight="1">
      <c r="C966" s="23"/>
      <c r="F966" s="23"/>
      <c r="G966" s="23"/>
      <c r="K966" s="23"/>
    </row>
    <row r="967" ht="15.75" customHeight="1">
      <c r="C967" s="23"/>
      <c r="F967" s="23"/>
      <c r="G967" s="23"/>
      <c r="K967" s="23"/>
    </row>
    <row r="968" ht="15.75" customHeight="1">
      <c r="C968" s="23"/>
      <c r="F968" s="23"/>
      <c r="G968" s="23"/>
      <c r="K968" s="23"/>
    </row>
    <row r="969" ht="15.75" customHeight="1">
      <c r="C969" s="23"/>
      <c r="F969" s="23"/>
      <c r="G969" s="23"/>
      <c r="K969" s="23"/>
    </row>
    <row r="970" ht="15.75" customHeight="1">
      <c r="C970" s="23"/>
      <c r="F970" s="23"/>
      <c r="G970" s="23"/>
      <c r="K970" s="23"/>
    </row>
    <row r="971" ht="15.75" customHeight="1">
      <c r="C971" s="23"/>
      <c r="F971" s="23"/>
      <c r="G971" s="23"/>
      <c r="K971" s="23"/>
    </row>
    <row r="972" ht="15.75" customHeight="1">
      <c r="C972" s="23"/>
      <c r="F972" s="23"/>
      <c r="G972" s="23"/>
      <c r="K972" s="23"/>
    </row>
    <row r="973" ht="15.75" customHeight="1">
      <c r="C973" s="23"/>
      <c r="F973" s="23"/>
      <c r="G973" s="23"/>
      <c r="K973" s="23"/>
    </row>
    <row r="974" ht="15.75" customHeight="1">
      <c r="C974" s="23"/>
      <c r="F974" s="23"/>
      <c r="G974" s="23"/>
      <c r="K974" s="23"/>
    </row>
    <row r="975" ht="15.75" customHeight="1">
      <c r="C975" s="23"/>
      <c r="F975" s="23"/>
      <c r="G975" s="23"/>
      <c r="K975" s="23"/>
    </row>
    <row r="976" ht="15.75" customHeight="1">
      <c r="C976" s="23"/>
      <c r="F976" s="23"/>
      <c r="G976" s="23"/>
      <c r="K976" s="23"/>
    </row>
    <row r="977" ht="15.75" customHeight="1">
      <c r="C977" s="23"/>
      <c r="F977" s="23"/>
      <c r="G977" s="23"/>
      <c r="K977" s="23"/>
    </row>
    <row r="978" ht="15.75" customHeight="1">
      <c r="C978" s="23"/>
      <c r="F978" s="23"/>
      <c r="G978" s="23"/>
      <c r="K978" s="23"/>
    </row>
    <row r="979" ht="15.75" customHeight="1">
      <c r="C979" s="23"/>
      <c r="F979" s="23"/>
      <c r="G979" s="23"/>
      <c r="K979" s="23"/>
    </row>
    <row r="980" ht="15.75" customHeight="1">
      <c r="C980" s="23"/>
      <c r="F980" s="23"/>
      <c r="G980" s="23"/>
      <c r="K980" s="23"/>
    </row>
    <row r="981" ht="15.75" customHeight="1">
      <c r="C981" s="23"/>
      <c r="F981" s="23"/>
      <c r="G981" s="23"/>
      <c r="K981" s="23"/>
    </row>
    <row r="982" ht="15.75" customHeight="1">
      <c r="C982" s="23"/>
      <c r="F982" s="23"/>
      <c r="G982" s="23"/>
      <c r="K982" s="23"/>
    </row>
    <row r="983" ht="15.75" customHeight="1">
      <c r="C983" s="23"/>
      <c r="F983" s="23"/>
      <c r="G983" s="23"/>
      <c r="K983" s="23"/>
    </row>
    <row r="984" ht="15.75" customHeight="1">
      <c r="C984" s="23"/>
      <c r="F984" s="23"/>
      <c r="G984" s="23"/>
      <c r="K984" s="23"/>
    </row>
    <row r="985" ht="15.75" customHeight="1">
      <c r="C985" s="23"/>
      <c r="F985" s="23"/>
      <c r="G985" s="23"/>
      <c r="K985" s="23"/>
    </row>
    <row r="986" ht="15.75" customHeight="1">
      <c r="C986" s="23"/>
      <c r="F986" s="23"/>
      <c r="G986" s="23"/>
      <c r="K986" s="23"/>
    </row>
    <row r="987" ht="15.75" customHeight="1">
      <c r="C987" s="23"/>
      <c r="F987" s="23"/>
      <c r="G987" s="23"/>
      <c r="K987" s="23"/>
    </row>
    <row r="988" ht="15.75" customHeight="1">
      <c r="C988" s="23"/>
      <c r="F988" s="23"/>
      <c r="G988" s="23"/>
      <c r="K988" s="23"/>
    </row>
    <row r="989" ht="15.75" customHeight="1">
      <c r="C989" s="23"/>
      <c r="F989" s="23"/>
      <c r="G989" s="23"/>
      <c r="K989" s="23"/>
    </row>
    <row r="990" ht="15.75" customHeight="1">
      <c r="C990" s="23"/>
      <c r="F990" s="23"/>
      <c r="G990" s="23"/>
      <c r="K990" s="23"/>
    </row>
    <row r="991" ht="15.75" customHeight="1">
      <c r="C991" s="23"/>
      <c r="F991" s="23"/>
      <c r="G991" s="23"/>
      <c r="K991" s="23"/>
    </row>
    <row r="992" ht="15.75" customHeight="1">
      <c r="C992" s="23"/>
      <c r="F992" s="23"/>
      <c r="G992" s="23"/>
      <c r="K992" s="23"/>
    </row>
    <row r="993" ht="15.75" customHeight="1">
      <c r="C993" s="23"/>
      <c r="F993" s="23"/>
      <c r="G993" s="23"/>
      <c r="K993" s="23"/>
    </row>
    <row r="994" ht="15.75" customHeight="1">
      <c r="C994" s="23"/>
      <c r="F994" s="23"/>
      <c r="G994" s="23"/>
      <c r="K994" s="23"/>
    </row>
    <row r="995" ht="15.75" customHeight="1">
      <c r="C995" s="23"/>
      <c r="F995" s="23"/>
      <c r="G995" s="23"/>
      <c r="K995" s="23"/>
    </row>
    <row r="996" ht="15.75" customHeight="1">
      <c r="C996" s="23"/>
      <c r="F996" s="23"/>
      <c r="G996" s="23"/>
      <c r="K996" s="23"/>
    </row>
    <row r="997" ht="15.75" customHeight="1">
      <c r="C997" s="23"/>
      <c r="F997" s="23"/>
      <c r="G997" s="23"/>
      <c r="K997" s="23"/>
    </row>
    <row r="998" ht="15.75" customHeight="1">
      <c r="C998" s="23"/>
      <c r="F998" s="23"/>
      <c r="G998" s="23"/>
      <c r="K998" s="23"/>
    </row>
    <row r="999" ht="15.75" customHeight="1">
      <c r="C999" s="23"/>
      <c r="F999" s="23"/>
      <c r="G999" s="23"/>
      <c r="K999" s="23"/>
    </row>
    <row r="1000" ht="15.75" customHeight="1">
      <c r="C1000" s="23"/>
      <c r="F1000" s="23"/>
      <c r="G1000" s="23"/>
      <c r="K1000" s="23"/>
    </row>
  </sheetData>
  <printOptions/>
  <pageMargins bottom="0.75" footer="0.0" header="0.0" left="0.7" right="0.7" top="0.75"/>
  <pageSetup orientation="landscape"/>
  <drawing r:id="rId1"/>
</worksheet>
</file>